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omma\GitHub\cvxlab_model\"/>
    </mc:Choice>
  </mc:AlternateContent>
  <xr:revisionPtr revIDLastSave="0" documentId="8_{279D1A61-767E-4472-917B-DA549444145D}" xr6:coauthVersionLast="47" xr6:coauthVersionMax="47" xr10:uidLastSave="{00000000-0000-0000-0000-000000000000}"/>
  <bookViews>
    <workbookView xWindow="-110" yWindow="-110" windowWidth="19420" windowHeight="11500" tabRatio="676" activeTab="4" xr2:uid="{EDA5124E-565F-4BFF-A1C5-AB073B3F3C78}"/>
  </bookViews>
  <sheets>
    <sheet name="tables_data" sheetId="21" r:id="rId1"/>
    <sheet name="physical_model_map" sheetId="19" r:id="rId2"/>
    <sheet name="structure_sets" sheetId="9" r:id="rId3"/>
    <sheet name="structure_variables" sheetId="23" r:id="rId4"/>
    <sheet name="problem" sheetId="22" r:id="rId5"/>
    <sheet name="_set_SECTORS" sheetId="15" r:id="rId6"/>
    <sheet name="_set_TECHNOLOGIES" sheetId="14" r:id="rId7"/>
    <sheet name="_set_PRODUCTS" sheetId="7" r:id="rId8"/>
    <sheet name="_set_HOURS" sheetId="11" r:id="rId9"/>
    <sheet name="_set_PRODUCTS_ENV" sheetId="13" r:id="rId10"/>
    <sheet name="_set_YEARS" sheetId="10" r:id="rId11"/>
    <sheet name="_set_CAPACITIES" sheetId="26" r:id="rId12"/>
    <sheet name="_set_PHYSICAL_DATA" sheetId="24" r:id="rId13"/>
    <sheet name="_set_ECONOMIC_DATA" sheetId="25" r:id="rId14"/>
    <sheet name="_set_COSTS" sheetId="27" r:id="rId15"/>
    <sheet name="_set_CONSTRAINTS" sheetId="28" r:id="rId16"/>
    <sheet name="_set_TOLERANCES" sheetId="32" r:id="rId17"/>
    <sheet name="_set_SCENARIOS" sheetId="29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1" l="1"/>
  <c r="B26" i="21"/>
  <c r="B27" i="21"/>
  <c r="B28" i="21"/>
  <c r="B29" i="21"/>
  <c r="B30" i="21"/>
  <c r="B31" i="21"/>
  <c r="B32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B79" i="21"/>
  <c r="B80" i="21"/>
  <c r="B81" i="21"/>
  <c r="B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96" i="21"/>
  <c r="B97" i="21"/>
  <c r="B98" i="21"/>
  <c r="B99" i="21"/>
  <c r="B100" i="21"/>
  <c r="B101" i="21"/>
  <c r="B102" i="21"/>
  <c r="B103" i="21"/>
  <c r="B104" i="21"/>
  <c r="B105" i="21"/>
  <c r="B106" i="21"/>
  <c r="B107" i="21"/>
  <c r="B108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E9" i="21" l="1" a="1"/>
  <c r="E9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tc={5694645B-E3EE-584D-A720-A07E8FF19E72}</author>
    <author>tc={DBE20936-1433-214D-99D9-5670A56AA21A}</author>
    <author>tc={11D0B8DC-5EDB-0648-B310-CF5AC38BB120}</author>
  </authors>
  <commentList>
    <comment ref="A9" authorId="0" shapeId="0" xr:uid="{5694645B-E3EE-584D-A720-A07E8FF19E72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exogenous tables</t>
      </text>
    </comment>
    <comment ref="G23" authorId="1" shapeId="0" xr:uid="{DBE20936-1433-214D-99D9-5670A56AA21A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EUROSTAT db</t>
      </text>
    </comment>
    <comment ref="G24" authorId="2" shapeId="0" xr:uid="{11D0B8DC-5EDB-0648-B310-CF5AC38BB120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EUROSTAT db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tc={C50CAB7B-36FA-4955-85CA-B0A873002F5B}</author>
    <author>tc={8F621FB7-6DBF-41F5-A4E8-8BA0C640EFEB}</author>
    <author>tc={C946F5C6-570A-42A7-9E91-FED4427AB551}</author>
    <author>tc={2778E426-62A9-4AC3-A3F4-6D1029024D34}</author>
    <author>tc={23D25E50-8486-4288-AFDD-EECBEDB745AF}</author>
    <author>tc={20E578EF-5354-4CE7-AD07-2B07592A13F6}</author>
    <author>tc={9EC70082-55EB-448A-BE82-22CD0011962E}</author>
    <author>tc={A7548844-A45D-4792-A783-1C33F142763B}</author>
    <author>tc={A948316F-8BCB-4339-8216-4B7B345CEDAC}</author>
    <author>tc={BF1E0D21-A35F-4EFE-AFDA-4BE70665BE00}</author>
    <author>tc={AE063BCB-B22D-41A8-92FB-B0CC1E4256FA}</author>
    <author>tc={70D6231D-ABCF-4026-8C6E-E0872D826BED}</author>
    <author>tc={F36B0CA7-FF24-47D7-AC87-C725B1AEBB16}</author>
    <author>tc={323347A0-3962-42E5-862D-A9C64A6501CE}</author>
    <author>tc={547B5D60-4602-4787-BF64-92B649BB2C08}</author>
    <author>tc={2F00023E-FFA1-4579-9EB0-974D0B5AB6A4}</author>
    <author>tc={585159EA-1632-4E04-B9AE-85DD3A664E15}</author>
    <author>tc={2F38E72C-003E-480D-97ED-0ADE6A878371}</author>
    <author>tc={B9B8DE07-95D9-44AA-9808-B8931EF0090D}</author>
    <author>tc={8C2FED18-0D69-49D3-8936-78220C6E090A}</author>
    <author>tc={94F850F2-6006-4C3F-99F4-B117C169921E}</author>
    <author>tc={891CB500-F9EE-46D9-B3C2-33CB6C815560}</author>
    <author>tc={E85EC7A4-28D1-455E-A583-BBF6538B9449}</author>
    <author>tc={8A615649-E4F4-4BF1-BC6D-E09672738874}</author>
    <author>tc={35510A4F-7DAD-4AE1-88B3-A64A5AD8E9C9}</author>
    <author>tc={ACFE49F9-B41F-47A3-BF59-AD116E651B83}</author>
    <author>tc={6BF2C36F-D885-41E5-A15D-B4538651F330}</author>
    <author>tc={2F0B9883-9CD5-415B-8103-E74431646E18}</author>
    <author>tc={7668306C-A344-4572-B0DF-C7C071DA1017}</author>
    <author>tc={F793F9A2-AEED-493E-A6FD-B7A371EC6E72}</author>
    <author>tc={A8F6DA18-D455-425A-8DC3-7F996790C73D}</author>
    <author>tc={3AAFD1CD-BAB1-4C00-9C8B-26F5B1B0FACD}</author>
    <author>tc={EA5B1EF3-A960-42FB-8769-512C5A300FCC}</author>
    <author>tc={302090F3-E343-44A9-BD3D-1B1616D6B641}</author>
    <author>tc={A8337E10-02D1-4CEB-99DB-22D4645E732B}</author>
    <author>tc={CEE1E342-DD73-4177-BF47-390A4ACAACEC}</author>
    <author>tc={FB9CEE78-F903-4762-98DC-8AA1D6B54151}</author>
    <author>tc={5F3DA95F-6879-43B9-8D0C-556AFBDC7225}</author>
    <author>tc={A230C014-21AB-4758-85E4-B1B0FE967286}</author>
    <author>tc={CF587145-2452-4223-9EBB-B74F9AC86602}</author>
    <author>tc={3EA7B509-156C-4231-983A-A0E1598F2E36}</author>
    <author>tc={1C572C9D-7227-49BC-A087-D60D6D9B8F1C}</author>
    <author>tc={B7E822E5-16CC-4BB6-A30A-AD654649B48C}</author>
    <author>tc={C39CF843-0D31-483B-B847-3E9547CAF685}</author>
    <author>tc={53A07179-D806-48F1-AAB4-B0C4CBB9A2A7}</author>
    <author>tc={F7605FD4-D9B3-46A0-89E1-3F0BBC450E43}</author>
    <author>tc={6820F6A7-0BAF-4628-9218-1A4DB9091C7E}</author>
    <author>tc={5C4F4C0D-1196-4978-B419-B69740962A25}</author>
    <author>tc={E293B3AB-181F-4B8C-9C87-D7E975EC062D}</author>
    <author>tc={1DC166B1-3C8D-48BF-8C7D-954AD0FEFAAA}</author>
    <author>tc={8AB38444-3CF4-4C43-AFFE-880B60F1B90E}</author>
  </authors>
  <commentList>
    <comment ref="BC1" authorId="0" shapeId="0" xr:uid="{C50CAB7B-36FA-4955-85CA-B0A873002F5B}">
      <text>
        <t>[Threaded comment]
Your version of Excel allows you to read this threaded comment; however, any edits to it will get removed if the file is opened in a newer version of Excel. Learn more: https://go.microsoft.com/fwlink/?linkid=870924
Comment:
    endogenous variables in red</t>
      </text>
    </comment>
    <comment ref="AV23" authorId="1" shapeId="0" xr:uid="{8F621FB7-6DBF-41F5-A4E8-8BA0C640EFEB}">
      <text>
        <t>[Threaded comment]
Your version of Excel allows you to read this threaded comment; however, any edits to it will get removed if the file is opened in a newer version of Excel. Learn more: https://go.microsoft.com/fwlink/?linkid=870924
Comment:
    final consumption coefficients (J/€), calculated based on the first year of simulation.
Use of physical commodities with respect to total economic activity of the related sectors.</t>
      </text>
    </comment>
    <comment ref="AZ46" authorId="2" shapeId="0" xr:uid="{C946F5C6-570A-42A7-9E91-FED4427AB551}">
      <text>
        <t>[Threaded comment]
Your version of Excel allows you to read this threaded comment; however, any edits to it will get removed if the file is opened in a newer version of Excel. Learn more: https://go.microsoft.com/fwlink/?linkid=870924
Comment:
    length of the period described by the supply/demand profiles (example: if the period is the typical day, it is 24 h/period).
defined as a scalar</t>
      </text>
    </comment>
    <comment ref="AZ48" authorId="3" shapeId="0" xr:uid="{2778E426-62A9-4AC3-A3F4-6D1029024D34}">
      <text>
        <t>[Threaded comment]
Your version of Excel allows you to read this threaded comment; however, any edits to it will get removed if the file is opened in a newer version of Excel. Learn more: https://go.microsoft.com/fwlink/?linkid=870924
Comment:
    range of the years set (1, 2, 3, … until the end of years set)</t>
      </text>
    </comment>
    <comment ref="E50" authorId="4" shapeId="0" xr:uid="{23D25E50-8486-4288-AFDD-EECBEDB745AF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AV50" authorId="5" shapeId="0" xr:uid="{20E578EF-5354-4CE7-AD07-2B07592A13F6}">
      <text>
        <t>[Threaded comment]
Your version of Excel allows you to read this threaded comment; however, any edits to it will get removed if the file is opened in a newer version of Excel. Learn more: https://go.microsoft.com/fwlink/?linkid=870924
Comment:
    domanda finale fisica da dati storici. poi il modello andrà calibrato per far tornare bene domanda, attività, emissioni, capacità, ...</t>
      </text>
    </comment>
    <comment ref="E59" authorId="6" shapeId="0" xr:uid="{9EC70082-55EB-448A-BE82-22CD0011962E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AV59" authorId="7" shapeId="0" xr:uid="{A7548844-A45D-4792-A783-1C33F14276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variabile da costruire a partire da domanda totale finale e attività intermedia economiche. 
per la run del solo modello fisico, si considera completamente esogena.</t>
      </text>
    </comment>
    <comment ref="E62" authorId="8" shapeId="0" xr:uid="{A948316F-8BCB-4339-8216-4B7B345CEDAC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AV62" authorId="9" shapeId="0" xr:uid="{BF1E0D21-A35F-4EFE-AFDA-4BE70665BE00}">
      <text>
        <t>[Threaded comment]
Your version of Excel allows you to read this threaded comment; however, any edits to it will get removed if the file is opened in a newer version of Excel. Learn more: https://go.microsoft.com/fwlink/?linkid=870924
Comment:
    questa tabella dati si costruisce in parte con dati storici, in parte con dati di anni modellati. 
Reply:
    rispetto al modello ey, la divisione della domanda oraria per il numero di periodi la si farà direttamente nel bilancio di domanda/attività</t>
      </text>
    </comment>
    <comment ref="AF76" authorId="10" shapeId="0" xr:uid="{AE063BCB-B22D-41A8-92FB-B0CC1E4256F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coefficients are quantified as unit_product_env / unit_energy_output (typically kg/kWh)</t>
      </text>
    </comment>
    <comment ref="AV76" authorId="11" shapeId="0" xr:uid="{70D6231D-ABCF-4026-8C6E-E0872D826BE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coefficients are quantified as unit_product_env / unit_economic_output (typically kg/€)</t>
      </text>
    </comment>
    <comment ref="E80" authorId="12" shapeId="0" xr:uid="{F36B0CA7-FF24-47D7-AC87-C725B1AEBB16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H80" authorId="13" shapeId="0" xr:uid="{323347A0-3962-42E5-862D-A9C64A6501CE}">
      <text>
        <t>[Threaded comment]
Your version of Excel allows you to read this threaded comment; however, any edits to it will get removed if the file is opened in a newer version of Excel. Learn more: https://go.microsoft.com/fwlink/?linkid=870924
Comment:
    in using r_v,env,p, products_env becomes intra-problem set</t>
      </text>
    </comment>
    <comment ref="AF80" authorId="14" shapeId="0" xr:uid="{547B5D60-4602-4787-BF64-92B649BB2C08}">
      <text>
        <t>[Threaded comment]
Your version of Excel allows you to read this threaded comment; however, any edits to it will get removed if the file is opened in a newer version of Excel. Learn more: https://go.microsoft.com/fwlink/?linkid=870924
Comment:
    env transactions functions of technology activity, included in the detailed analysis of emissions</t>
      </text>
    </comment>
    <comment ref="BC80" authorId="15" shapeId="0" xr:uid="{2F00023E-FFA1-4579-9EB0-974D0B5AB6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determines the unit environmental transactions in blended flows.
in the variables map, only a cluster of blended flows is represented to avoid graphical fragmenation of algebraic items.
</t>
      </text>
    </comment>
    <comment ref="E83" authorId="16" shapeId="0" xr:uid="{585159EA-1632-4E04-B9AE-85DD3A664E15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H87" authorId="17" shapeId="0" xr:uid="{2F38E72C-003E-480D-97ED-0ADE6A878371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
r_vu,T and r_vu,C are distinct variables but here are represented with same block</t>
      </text>
    </comment>
    <comment ref="AF87" authorId="18" shapeId="0" xr:uid="{B9B8DE07-95D9-44AA-9808-B8931EF0090D}">
      <text>
        <t>[Threaded comment]
Your version of Excel allows you to read this threaded comment; however, any edits to it will get removed if the file is opened in a newer version of Excel. Learn more: https://go.microsoft.com/fwlink/?linkid=870924
Comment:
    env transactions filter</t>
      </text>
    </comment>
    <comment ref="E99" authorId="19" shapeId="0" xr:uid="{8C2FED18-0D69-49D3-8936-78220C6E090A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E102" authorId="20" shapeId="0" xr:uid="{94F850F2-6006-4C3F-99F4-B117C169921E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E105" authorId="21" shapeId="0" xr:uid="{891CB500-F9EE-46D9-B3C2-33CB6C815560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E110" authorId="22" shapeId="0" xr:uid="{E85EC7A4-28D1-455E-A583-BBF6538B9449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E116" authorId="23" shapeId="0" xr:uid="{8A615649-E4F4-4BF1-BC6D-E09672738874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E125" authorId="24" shapeId="0" xr:uid="{35510A4F-7DAD-4AE1-88B3-A64A5AD8E9C9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E140" authorId="25" shapeId="0" xr:uid="{ACFE49F9-B41F-47A3-BF59-AD116E651B83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E145" authorId="26" shapeId="0" xr:uid="{6BF2C36F-D885-41E5-A15D-B4538651F330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E153" authorId="27" shapeId="0" xr:uid="{2F0B9883-9CD5-415B-8103-E74431646E18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H153" authorId="28" shapeId="0" xr:uid="{7668306C-A344-4572-B0DF-C7C071DA1017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
R_vu and R_vu,C are distinct variables but here are represented with same block
RR_vue table includes R_vu and R_ve</t>
      </text>
    </comment>
    <comment ref="E159" authorId="29" shapeId="0" xr:uid="{F793F9A2-AEED-493E-A6FD-B7A371EC6E72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E162" authorId="30" shapeId="0" xr:uid="{A8F6DA18-D455-425A-8DC3-7F996790C73D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E165" authorId="31" shapeId="0" xr:uid="{3AAFD1CD-BAB1-4C00-9C8B-26F5B1B0FACD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I168" authorId="32" shapeId="0" xr:uid="{EA5B1EF3-A960-42FB-8769-512C5A300FCC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I186" authorId="33" shapeId="0" xr:uid="{302090F3-E343-44A9-BD3D-1B1616D6B641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M190" authorId="34" shapeId="0" xr:uid="{A8337E10-02D1-4CEB-99DB-22D4645E732B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R190" authorId="35" shapeId="0" xr:uid="{CEE1E342-DD73-4177-BF47-390A4ACAACEC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I195" authorId="36" shapeId="0" xr:uid="{FB9CEE78-F903-4762-98DC-8AA1D6B54151}">
      <text>
        <t>[Threaded comment]
Your version of Excel allows you to read this threaded comment; however, any edits to it will get removed if the file is opened in a newer version of Excel. Learn more: https://go.microsoft.com/fwlink/?linkid=870924
Comment:
    technologies are intra-problem set and years are on the columns</t>
      </text>
    </comment>
    <comment ref="E203" authorId="37" shapeId="0" xr:uid="{5F3DA95F-6879-43B9-8D0C-556AFBDC7225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I207" authorId="38" shapeId="0" xr:uid="{A230C014-21AB-4758-85E4-B1B0FE967286}">
      <text>
        <t>[Threaded comment]
Your version of Excel allows you to read this threaded comment; however, any edits to it will get removed if the file is opened in a newer version of Excel. Learn more: https://go.microsoft.com/fwlink/?linkid=870924
Comment:
    technologies are intra-problem set, years are on the columns</t>
      </text>
    </comment>
    <comment ref="E209" authorId="39" shapeId="0" xr:uid="{CF587145-2452-4223-9EBB-B74F9AC86602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I211" authorId="40" shapeId="0" xr:uid="{3EA7B509-156C-4231-983A-A0E1598F2E36}">
      <text>
        <t>[Threaded comment]
Your version of Excel allows you to read this threaded comment; however, any edits to it will get removed if the file is opened in a newer version of Excel. Learn more: https://go.microsoft.com/fwlink/?linkid=870924
Comment:
    technologies are intra-problem set, years are on the columns</t>
      </text>
    </comment>
    <comment ref="E213" authorId="41" shapeId="0" xr:uid="{1C572C9D-7227-49BC-A087-D60D6D9B8F1C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E216" authorId="42" shapeId="0" xr:uid="{B7E822E5-16CC-4BB6-A30A-AD654649B48C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L216" authorId="43" shapeId="0" xr:uid="{C39CF843-0D31-483B-B847-3E9547CAF685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E221" authorId="44" shapeId="0" xr:uid="{53A07179-D806-48F1-AAB4-B0C4CBB9A2A7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intra-set problem</t>
      </text>
    </comment>
    <comment ref="E224" authorId="45" shapeId="0" xr:uid="{F7605FD4-D9B3-46A0-89E1-3F0BBC450E43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intra-set problem</t>
      </text>
    </comment>
    <comment ref="E228" authorId="46" shapeId="0" xr:uid="{6820F6A7-0BAF-4628-9218-1A4DB9091C7E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L228" authorId="47" shapeId="0" xr:uid="{5C4F4C0D-1196-4978-B419-B69740962A25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I238" authorId="48" shapeId="0" xr:uid="{E293B3AB-181F-4B8C-9C87-D7E975EC062D}">
      <text>
        <t>[Threaded comment]
Your version of Excel allows you to read this threaded comment; however, any edits to it will get removed if the file is opened in a newer version of Excel. Learn more: https://go.microsoft.com/fwlink/?linkid=870924
Comment:
    technologies are intra-problem set, years are on the columns</t>
      </text>
    </comment>
    <comment ref="E248" authorId="49" shapeId="0" xr:uid="{1DC166B1-3C8D-48BF-8C7D-954AD0FEFAAA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  <comment ref="E253" authorId="50" shapeId="0" xr:uid="{8AB38444-3CF4-4C43-AFFE-880B60F1B90E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intra-problem set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tc={FE5E3957-19BB-4C28-8029-C431DA39A258}</author>
    <author>tc={26331CE0-CE49-4F45-A403-2FE7AC4C1A4D}</author>
  </authors>
  <commentList>
    <comment ref="B16" authorId="0" shapeId="0" xr:uid="{FE5E3957-19BB-4C28-8029-C431DA39A258}">
      <text>
        <t>[Threaded comment]
Your version of Excel allows you to read this threaded comment; however, any edits to it will get removed if the file is opened in a newer version of Excel. Learn more: https://go.microsoft.com/fwlink/?linkid=870924
Comment:
    nella tavola economica, l'energia elettrica entra tutta o quasi in distribuzione, così come la trasmissione entra tutta o quasi in distribuzione.
quindi la coerenza tra i modelli imporrebbe che anche l'energia elettrica kWh entrasse tutta in distribuzione.
sarebbe possibile aggiustare la tavola economica per fare in modo che la domanda sia di energia elettrica e non di distribuzione di energia elettrica?
Reply:
    se non si può fare, il modello fisico deve consegnare energia elettrica sempre tramite la tecnologia distribuzione.</t>
      </text>
    </comment>
    <comment ref="B37" authorId="1" shapeId="0" xr:uid="{26331CE0-CE49-4F45-A403-2FE7AC4C1A4D}">
      <text>
        <t>[Threaded comment]
Your version of Excel allows you to read this threaded comment; however, any edits to it will get removed if the file is opened in a newer version of Excel. Learn more: https://go.microsoft.com/fwlink/?linkid=870924
Comment:
    occorre prevedere il prodotto idrogeno, definito da un market share di h2 green e grey, e i due prodotti h2 green e grey separati (la siderurgia verde ha senso se consuma idrogeno green)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<sst xmlns="http://schemas.openxmlformats.org/spreadsheetml/2006/main" count="5676" uniqueCount="1926">
  <si>
    <t>LEGEND</t>
  </si>
  <si>
    <t>y</t>
  </si>
  <si>
    <t>h</t>
  </si>
  <si>
    <t>capacity</t>
  </si>
  <si>
    <t>constant</t>
  </si>
  <si>
    <t>electricity</t>
  </si>
  <si>
    <t>discount rate</t>
  </si>
  <si>
    <t>interest rate</t>
  </si>
  <si>
    <t>operative capacity</t>
  </si>
  <si>
    <t>U</t>
  </si>
  <si>
    <t>R02</t>
  </si>
  <si>
    <t>05</t>
  </si>
  <si>
    <t>06.1</t>
  </si>
  <si>
    <t>06.2</t>
  </si>
  <si>
    <t>07.21</t>
  </si>
  <si>
    <t>20.13.01</t>
  </si>
  <si>
    <t>35.11</t>
  </si>
  <si>
    <t>23.5-23.6</t>
  </si>
  <si>
    <t>49.3</t>
  </si>
  <si>
    <t>49.4</t>
  </si>
  <si>
    <t>V</t>
  </si>
  <si>
    <t>V02</t>
  </si>
  <si>
    <t>05-06-09.10</t>
  </si>
  <si>
    <t>V19</t>
  </si>
  <si>
    <t>35.2</t>
  </si>
  <si>
    <t>35.12</t>
  </si>
  <si>
    <t>24.2.-24.3</t>
  </si>
  <si>
    <t>table_key</t>
  </si>
  <si>
    <t>name</t>
  </si>
  <si>
    <t>type</t>
  </si>
  <si>
    <t>coordinates</t>
  </si>
  <si>
    <t>value</t>
  </si>
  <si>
    <t>v</t>
  </si>
  <si>
    <t>make coefficients, physical</t>
  </si>
  <si>
    <t>exogenous</t>
  </si>
  <si>
    <t>sectors, products</t>
  </si>
  <si>
    <t>v_yy</t>
  </si>
  <si>
    <t>v_hh</t>
  </si>
  <si>
    <t>v_b</t>
  </si>
  <si>
    <t>u</t>
  </si>
  <si>
    <t>use coefficients, physical</t>
  </si>
  <si>
    <t>products, technologies</t>
  </si>
  <si>
    <t>u_yy</t>
  </si>
  <si>
    <t>u_yh</t>
  </si>
  <si>
    <t>u_hy</t>
  </si>
  <si>
    <t>u_hh</t>
  </si>
  <si>
    <t>u_b</t>
  </si>
  <si>
    <t>I_st</t>
  </si>
  <si>
    <t>sector by technology identity</t>
  </si>
  <si>
    <t>I_yy</t>
  </si>
  <si>
    <t>I_hh</t>
  </si>
  <si>
    <t>I_b</t>
  </si>
  <si>
    <t>m</t>
  </si>
  <si>
    <t>imports by products coefficients, physical</t>
  </si>
  <si>
    <t>pl</t>
  </si>
  <si>
    <t>periods length</t>
  </si>
  <si>
    <t>hours</t>
  </si>
  <si>
    <t>e</t>
  </si>
  <si>
    <t>final demand coefficients by product, physical</t>
  </si>
  <si>
    <t>X_e</t>
  </si>
  <si>
    <t>demand by product, economic</t>
  </si>
  <si>
    <t>technologies, years</t>
  </si>
  <si>
    <t>years</t>
  </si>
  <si>
    <t>E_hist,ex</t>
  </si>
  <si>
    <t>demand by product, physical, historical</t>
  </si>
  <si>
    <t>products, technologies, years</t>
  </si>
  <si>
    <t>E</t>
  </si>
  <si>
    <t>endogenous</t>
  </si>
  <si>
    <t>E_hist</t>
  </si>
  <si>
    <t>E_y</t>
  </si>
  <si>
    <t>E_h</t>
  </si>
  <si>
    <t>dp</t>
  </si>
  <si>
    <t>hourly products demand profiles</t>
  </si>
  <si>
    <t>hours, products</t>
  </si>
  <si>
    <t>Q_y</t>
  </si>
  <si>
    <t>Q_yy</t>
  </si>
  <si>
    <t>Q_yh</t>
  </si>
  <si>
    <t>Q_h</t>
  </si>
  <si>
    <t>X_y</t>
  </si>
  <si>
    <t>activity by technology by year</t>
  </si>
  <si>
    <t>X_yy</t>
  </si>
  <si>
    <t>X_yh</t>
  </si>
  <si>
    <t>X_h</t>
  </si>
  <si>
    <t>VV</t>
  </si>
  <si>
    <t>sectors, products, years</t>
  </si>
  <si>
    <t>UU</t>
  </si>
  <si>
    <t>MM</t>
  </si>
  <si>
    <t>M</t>
  </si>
  <si>
    <t>M_yh</t>
  </si>
  <si>
    <t>MM_h</t>
  </si>
  <si>
    <t>M_h</t>
  </si>
  <si>
    <t>r_v</t>
  </si>
  <si>
    <t>r_vu</t>
  </si>
  <si>
    <t>environmental transactions, by product-technology</t>
  </si>
  <si>
    <t>products_env, technologies</t>
  </si>
  <si>
    <t>r_T</t>
  </si>
  <si>
    <t>environmental transactions filters, transferred</t>
  </si>
  <si>
    <t>products_env, products, technologies</t>
  </si>
  <si>
    <t>products_env</t>
  </si>
  <si>
    <t>r_C</t>
  </si>
  <si>
    <t>environmental transactions filters, captured</t>
  </si>
  <si>
    <t>RR_vue</t>
  </si>
  <si>
    <t>R_vu</t>
  </si>
  <si>
    <t>R_ve</t>
  </si>
  <si>
    <t>r_ue</t>
  </si>
  <si>
    <t>environmental transactions, by technology</t>
  </si>
  <si>
    <t>r_u</t>
  </si>
  <si>
    <t>r_e</t>
  </si>
  <si>
    <t>R_u</t>
  </si>
  <si>
    <t>R_e</t>
  </si>
  <si>
    <t>Cap_op</t>
  </si>
  <si>
    <t>technologies</t>
  </si>
  <si>
    <t>sf</t>
  </si>
  <si>
    <t>c</t>
  </si>
  <si>
    <t>costs</t>
  </si>
  <si>
    <t>Legend</t>
  </si>
  <si>
    <t>data collected and implementable</t>
  </si>
  <si>
    <t>data collected, need some rearrangements</t>
  </si>
  <si>
    <t>under fine tuning</t>
  </si>
  <si>
    <t>all data are missing</t>
  </si>
  <si>
    <t>no data to be collected, need for assumptions or expert-judgement</t>
  </si>
  <si>
    <t>notes</t>
  </si>
  <si>
    <t>ESTAT balances/PEFA?</t>
  </si>
  <si>
    <t>off the model calculations based on E_hist,ex &amp; SUT</t>
  </si>
  <si>
    <t>something to disaggregate</t>
  </si>
  <si>
    <t>PEFA not available for many years</t>
  </si>
  <si>
    <t>assumption of constant profile for h2? resolution?</t>
  </si>
  <si>
    <t>missing h2 and storage</t>
  </si>
  <si>
    <t>at least from 2000</t>
  </si>
  <si>
    <t>Cp_O_hist,ex</t>
  </si>
  <si>
    <t>operative capacity by technology, physical, historical</t>
  </si>
  <si>
    <t>capacities,technologies, years</t>
  </si>
  <si>
    <t>specific costs by technology, physical</t>
  </si>
  <si>
    <t>costs,technologies,years</t>
  </si>
  <si>
    <t>buildings?</t>
  </si>
  <si>
    <t>---</t>
  </si>
  <si>
    <t>equations</t>
  </si>
  <si>
    <t>constants</t>
  </si>
  <si>
    <t>prods</t>
  </si>
  <si>
    <t>p1</t>
  </si>
  <si>
    <t>p2</t>
  </si>
  <si>
    <t>p3</t>
  </si>
  <si>
    <t>p4</t>
  </si>
  <si>
    <t>p5</t>
  </si>
  <si>
    <t>p6</t>
  </si>
  <si>
    <t>p7</t>
  </si>
  <si>
    <t>exogenous variables</t>
  </si>
  <si>
    <t>prods_env</t>
  </si>
  <si>
    <t>endogenous (derived from exogenous directly)</t>
  </si>
  <si>
    <t>techs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</si>
  <si>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</si>
  <si>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</si>
  <si>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</si>
  <si>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</si>
  <si>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</si>
  <si>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</si>
  <si>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</si>
  <si>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</si>
  <si>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</si>
  <si>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</si>
  <si>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</si>
  <si>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</si>
  <si>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</si>
  <si>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</si>
  <si>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</si>
  <si>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endogenous (decision variables)</t>
  </si>
  <si>
    <t>sects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</si>
  <si>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</si>
  <si>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</si>
  <si>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</si>
  <si>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</si>
  <si>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</si>
  <si>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</si>
  <si>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</si>
  <si>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</si>
  <si>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</si>
  <si>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</si>
  <si>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endogenous (derived from decision variables)</t>
  </si>
  <si>
    <t>capacities</t>
  </si>
  <si>
    <t>exogenous/endogenous (depending on problem)</t>
  </si>
  <si>
    <t>objective</t>
  </si>
  <si>
    <t>physical_data</t>
  </si>
  <si>
    <t>eco_data</t>
  </si>
  <si>
    <t>type_economic</t>
  </si>
  <si>
    <t>interm</t>
  </si>
  <si>
    <t>final</t>
  </si>
  <si>
    <t>type_physical</t>
  </si>
  <si>
    <t>region</t>
  </si>
  <si>
    <t>dom</t>
  </si>
  <si>
    <t>row</t>
  </si>
  <si>
    <t>blend_in</t>
  </si>
  <si>
    <t>blend_out</t>
  </si>
  <si>
    <t>conv</t>
  </si>
  <si>
    <t>trans</t>
  </si>
  <si>
    <t>blender</t>
  </si>
  <si>
    <t>stor</t>
  </si>
  <si>
    <t>stor_plus</t>
  </si>
  <si>
    <t>conv_BEV</t>
  </si>
  <si>
    <t>time_resolution</t>
  </si>
  <si>
    <t>time _scope</t>
  </si>
  <si>
    <t>True</t>
  </si>
  <si>
    <t>cost_type</t>
  </si>
  <si>
    <t>fossil fuels</t>
  </si>
  <si>
    <t>blended fuels</t>
  </si>
  <si>
    <t>transport</t>
  </si>
  <si>
    <t>electricity fossil</t>
  </si>
  <si>
    <t>electricity res</t>
  </si>
  <si>
    <t>electricity bev</t>
  </si>
  <si>
    <t>fossil refining</t>
  </si>
  <si>
    <t>fossil td</t>
  </si>
  <si>
    <t>blender, fossil</t>
  </si>
  <si>
    <t>blender, ee</t>
  </si>
  <si>
    <t>ICEV</t>
  </si>
  <si>
    <t>BEV</t>
  </si>
  <si>
    <t>electricity, fossil</t>
  </si>
  <si>
    <t>electricity, res A</t>
  </si>
  <si>
    <t>electricity, res B</t>
  </si>
  <si>
    <t>electricity td</t>
  </si>
  <si>
    <t>blender, ee fossil</t>
  </si>
  <si>
    <t>blender, ee res</t>
  </si>
  <si>
    <t>battery storage</t>
  </si>
  <si>
    <t>vehicle storage c/d</t>
  </si>
  <si>
    <t>vehicle storage</t>
  </si>
  <si>
    <t>industry</t>
  </si>
  <si>
    <t>households</t>
  </si>
  <si>
    <t>exports</t>
  </si>
  <si>
    <t>[problem_no]: [inter-problem set filter]: [equation]</t>
  </si>
  <si>
    <t>OBJECTIVE FUNCTION</t>
  </si>
  <si>
    <t>OBJ</t>
  </si>
  <si>
    <t>fossil blending</t>
  </si>
  <si>
    <t xml:space="preserve"> </t>
  </si>
  <si>
    <t>imports</t>
  </si>
  <si>
    <t>historical</t>
  </si>
  <si>
    <t>DEMAND BY PRODUCT</t>
  </si>
  <si>
    <t>historical demand of physical products</t>
  </si>
  <si>
    <t>demand of physical products in modelling years</t>
  </si>
  <si>
    <t>h1</t>
  </si>
  <si>
    <t>h..</t>
  </si>
  <si>
    <t>hn</t>
  </si>
  <si>
    <t>pe1</t>
  </si>
  <si>
    <t>by tech, primary resources</t>
  </si>
  <si>
    <t>nitrous oxide</t>
  </si>
  <si>
    <t>pe2</t>
  </si>
  <si>
    <t>…</t>
  </si>
  <si>
    <t>UNIT EMISSIONS OF BLENDED FLOW</t>
  </si>
  <si>
    <t>pe3</t>
  </si>
  <si>
    <t>by prod</t>
  </si>
  <si>
    <t>carbon dioxide</t>
  </si>
  <si>
    <t xml:space="preserve">emissions balance by blended flow </t>
  </si>
  <si>
    <t>pe4</t>
  </si>
  <si>
    <t>pe</t>
  </si>
  <si>
    <t>LEONTIEF PRIMAL MODEL</t>
  </si>
  <si>
    <t xml:space="preserve">products demand-supply balances </t>
  </si>
  <si>
    <t>technology assumption (industry-based)</t>
  </si>
  <si>
    <t xml:space="preserve">total hourly demand/activity </t>
  </si>
  <si>
    <t>total transactions tables</t>
  </si>
  <si>
    <t>LEONTIEF DUAL MODEL</t>
  </si>
  <si>
    <t>ENVIRONMENTAL TRANSACTIONS</t>
  </si>
  <si>
    <t>environmental transactions by technology</t>
  </si>
  <si>
    <t>AVAILABILITY BALANCES</t>
  </si>
  <si>
    <t>t</t>
  </si>
  <si>
    <t>pd1</t>
  </si>
  <si>
    <t>initial operative capacity</t>
  </si>
  <si>
    <t>pd2</t>
  </si>
  <si>
    <t>dec_to_cons</t>
  </si>
  <si>
    <t>delay decision-to-construction</t>
  </si>
  <si>
    <t>pd3</t>
  </si>
  <si>
    <t>cons_to_ope</t>
  </si>
  <si>
    <t>delay construction-to-operation</t>
  </si>
  <si>
    <t>pd4</t>
  </si>
  <si>
    <t>operative</t>
  </si>
  <si>
    <t>operative lifetime</t>
  </si>
  <si>
    <t>pd5</t>
  </si>
  <si>
    <t>operative_init</t>
  </si>
  <si>
    <t>initial operative lifetime</t>
  </si>
  <si>
    <t>pd6</t>
  </si>
  <si>
    <t>disposal</t>
  </si>
  <si>
    <t>pd7</t>
  </si>
  <si>
    <t>financial</t>
  </si>
  <si>
    <t>financial lifetime</t>
  </si>
  <si>
    <t>pd8</t>
  </si>
  <si>
    <t>max_dis</t>
  </si>
  <si>
    <t>max dicharge rate</t>
  </si>
  <si>
    <t>pd9</t>
  </si>
  <si>
    <t>max_ch</t>
  </si>
  <si>
    <t>max charge rate</t>
  </si>
  <si>
    <t>pd10</t>
  </si>
  <si>
    <t>soc_min</t>
  </si>
  <si>
    <t>minimum state of charge</t>
  </si>
  <si>
    <t>pd11</t>
  </si>
  <si>
    <t>soc_in</t>
  </si>
  <si>
    <t>state of charge at the beginning of the period</t>
  </si>
  <si>
    <t>pd12</t>
  </si>
  <si>
    <t>soc_end</t>
  </si>
  <si>
    <t>state of charge at the end of the period</t>
  </si>
  <si>
    <t>y1</t>
  </si>
  <si>
    <t>yn</t>
  </si>
  <si>
    <t>pd13</t>
  </si>
  <si>
    <t>av_y_max</t>
  </si>
  <si>
    <t>maximum yearly availability</t>
  </si>
  <si>
    <t>pd14</t>
  </si>
  <si>
    <t>av_y_min</t>
  </si>
  <si>
    <t>minimum yearly availability</t>
  </si>
  <si>
    <t>av_h_max</t>
  </si>
  <si>
    <t>h…</t>
  </si>
  <si>
    <t>n</t>
  </si>
  <si>
    <t>STATE OF CHARGE</t>
  </si>
  <si>
    <t>cap1</t>
  </si>
  <si>
    <t>planned</t>
  </si>
  <si>
    <t>planned capacity</t>
  </si>
  <si>
    <t>cap2</t>
  </si>
  <si>
    <t>financed</t>
  </si>
  <si>
    <t>financed capacity</t>
  </si>
  <si>
    <t>cap3</t>
  </si>
  <si>
    <t>built</t>
  </si>
  <si>
    <t>built capacity</t>
  </si>
  <si>
    <t>cap4</t>
  </si>
  <si>
    <t>disp_built</t>
  </si>
  <si>
    <t>disposed built capacity</t>
  </si>
  <si>
    <t>cap5</t>
  </si>
  <si>
    <t>disp_init</t>
  </si>
  <si>
    <t>disposed initial capacity</t>
  </si>
  <si>
    <t>cap6</t>
  </si>
  <si>
    <t>STORAGE BALANCES</t>
  </si>
  <si>
    <t>ed1</t>
  </si>
  <si>
    <t>ed2</t>
  </si>
  <si>
    <t>c1</t>
  </si>
  <si>
    <t>capex</t>
  </si>
  <si>
    <t>c3</t>
  </si>
  <si>
    <t>env_transactions</t>
  </si>
  <si>
    <t>c4</t>
  </si>
  <si>
    <t>env_transactions_dis</t>
  </si>
  <si>
    <t>ECONOMIC BALANCES</t>
  </si>
  <si>
    <t>capital costs</t>
  </si>
  <si>
    <t>c2</t>
  </si>
  <si>
    <t>capex_dis</t>
  </si>
  <si>
    <t>discounted capital costs</t>
  </si>
  <si>
    <t>discounted cost of env transactions</t>
  </si>
  <si>
    <t>NON-NEGATIVITY CONSTRAINTS</t>
  </si>
  <si>
    <t>set_key</t>
  </si>
  <si>
    <t>description</t>
  </si>
  <si>
    <t>split_problem</t>
  </si>
  <si>
    <t>copy_from</t>
  </si>
  <si>
    <t>filters</t>
  </si>
  <si>
    <t>sectors</t>
  </si>
  <si>
    <t>products</t>
  </si>
  <si>
    <t>last_hour: [True], season: [winter, spring, summer, fall]</t>
  </si>
  <si>
    <t>environmental flows</t>
  </si>
  <si>
    <t>physical data</t>
  </si>
  <si>
    <t>type: [planned, financed, built, disp_built, disp_init, operative]</t>
  </si>
  <si>
    <t>economic_data</t>
  </si>
  <si>
    <t>economic data</t>
  </si>
  <si>
    <t>type: [discount, interest]</t>
  </si>
  <si>
    <t>constraints</t>
  </si>
  <si>
    <t>integer</t>
  </si>
  <si>
    <t>variables_info</t>
  </si>
  <si>
    <t>blank_fill</t>
  </si>
  <si>
    <t>skip</t>
  </si>
  <si>
    <t>av_h</t>
  </si>
  <si>
    <t>dim: rows</t>
  </si>
  <si>
    <t>av_h_min</t>
  </si>
  <si>
    <t>c_cap</t>
  </si>
  <si>
    <t>dim: intra, filters: {type_physical: [intermediate], capacity: [True]}</t>
  </si>
  <si>
    <t>dim: cols</t>
  </si>
  <si>
    <t>dim: rows, filters: {type: [capex]}</t>
  </si>
  <si>
    <t>c_r</t>
  </si>
  <si>
    <t>c_ru</t>
  </si>
  <si>
    <t>dim: cols, filters: {type_physical: [intermediate]}</t>
  </si>
  <si>
    <t>dim: intra</t>
  </si>
  <si>
    <t>dim: rows, filters: {type: [emissions by tech, primary resources]}</t>
  </si>
  <si>
    <t>dim: intra, filters: {type: [env_transactions]}</t>
  </si>
  <si>
    <t>dim: cols, filters: {type_physical: [final]}</t>
  </si>
  <si>
    <t>c_rv</t>
  </si>
  <si>
    <t>dim: rows, filters: {type: [emissions by prod]}</t>
  </si>
  <si>
    <t>capacities | new planned</t>
  </si>
  <si>
    <t>Cap_n_pl</t>
  </si>
  <si>
    <t>dim: rows, filters: {type: [planned]}</t>
  </si>
  <si>
    <t>capacities | new financed</t>
  </si>
  <si>
    <t>Cap_n_fi</t>
  </si>
  <si>
    <t>dim: rows, filters: {type: [financed]}</t>
  </si>
  <si>
    <t>capacities | new built</t>
  </si>
  <si>
    <t>Cap_n_bu</t>
  </si>
  <si>
    <t>dim: rows, filters: {type: [built]}</t>
  </si>
  <si>
    <t>capacities | disposed new built</t>
  </si>
  <si>
    <t>Cap_d_bu</t>
  </si>
  <si>
    <t>dim: rows, filters: {type: [disp_built]}</t>
  </si>
  <si>
    <t>capacities | disposed initial</t>
  </si>
  <si>
    <t>Cap_d_in</t>
  </si>
  <si>
    <t>dim: rows, filters: {type: [disp_init]}</t>
  </si>
  <si>
    <t>capacities | operative</t>
  </si>
  <si>
    <t>dim: rows, filters: {type: [operative]}</t>
  </si>
  <si>
    <t>Cap_op_h_st_all</t>
  </si>
  <si>
    <t>dim: cols, filters: {type_physical: [intermediate], time_resolution: [hourly], capacity: [True], type: [stor, stor_plus]}</t>
  </si>
  <si>
    <t>Cap_op_h_st</t>
  </si>
  <si>
    <t>dim: cols, filters: {type_physical: [intermediate], time_resolution: [hourly], capacity: [True], type: [stor]}</t>
  </si>
  <si>
    <t>Cap_op_h_st_p</t>
  </si>
  <si>
    <t>dim: cols, filters: {type_physical: [intermediate], time_resolution: [hourly], capacity: [True], type: [stor_plus]}</t>
  </si>
  <si>
    <t>CC_obj</t>
  </si>
  <si>
    <t>total costs | years as intra-set</t>
  </si>
  <si>
    <t>C_tot</t>
  </si>
  <si>
    <t>total costs | years on cols</t>
  </si>
  <si>
    <t>C_tot_y</t>
  </si>
  <si>
    <t>CC_r</t>
  </si>
  <si>
    <t>C_r</t>
  </si>
  <si>
    <t>dim: rows, filters: {type: [env_transactions]}</t>
  </si>
  <si>
    <t>C_r_d</t>
  </si>
  <si>
    <t>dim: rows, filters: {type: [env_transactions_dis]}</t>
  </si>
  <si>
    <t>C_r_d_pe</t>
  </si>
  <si>
    <t>dim: intra, filters: {type: [env_transactions_dis]}</t>
  </si>
  <si>
    <t>C_ru</t>
  </si>
  <si>
    <t>C_rv</t>
  </si>
  <si>
    <t>CC_tot</t>
  </si>
  <si>
    <t>C_cap</t>
  </si>
  <si>
    <t>C_cap_d</t>
  </si>
  <si>
    <t>dim: rows, filters: {type: [capex_dis]}</t>
  </si>
  <si>
    <t>C_r_d_tot</t>
  </si>
  <si>
    <t>C_cap_d_t</t>
  </si>
  <si>
    <t>dim: rows, filters: {type_physical: [intermediate], capacity: [True]}</t>
  </si>
  <si>
    <t>dim: cols, filters: {type: [capex_dis]}</t>
  </si>
  <si>
    <t>C_r_d_tot_t</t>
  </si>
  <si>
    <t>dim: cols, filters: {type: [env_transactions_dis]}</t>
  </si>
  <si>
    <t>number of periods in hours set</t>
  </si>
  <si>
    <t>pl_h</t>
  </si>
  <si>
    <t>set_length</t>
  </si>
  <si>
    <t>number of periods in years set</t>
  </si>
  <si>
    <t>pl_y</t>
  </si>
  <si>
    <t>pr_y</t>
  </si>
  <si>
    <t>arange_1</t>
  </si>
  <si>
    <t>constraints | maximum operative capacity</t>
  </si>
  <si>
    <t>Cap_op_max</t>
  </si>
  <si>
    <t>dim: rows, filters: {type: [cap_op_max]}</t>
  </si>
  <si>
    <t>constraints | minimum operative capacity</t>
  </si>
  <si>
    <t>Cap_op_min</t>
  </si>
  <si>
    <t>dim: rows, filters: {type: [cap_op_min]}</t>
  </si>
  <si>
    <t>constraints | maximum planned capacity</t>
  </si>
  <si>
    <t>Cap_n_pl_max</t>
  </si>
  <si>
    <t>dim: rows, filters: {type: [cap_pl_max]}</t>
  </si>
  <si>
    <t>constraints | minimum planned capacity</t>
  </si>
  <si>
    <t>Cap_n_pl_min</t>
  </si>
  <si>
    <t>dim: rows, filters: {type: [cap_pl_min]}</t>
  </si>
  <si>
    <t>share_max</t>
  </si>
  <si>
    <t>dim: rows, filters: {type: [share_max]}</t>
  </si>
  <si>
    <t>share_min</t>
  </si>
  <si>
    <t>dim: rows, filters: {type: [share_min]}</t>
  </si>
  <si>
    <t>CUR_h</t>
  </si>
  <si>
    <t>curtailment by hour</t>
  </si>
  <si>
    <t>dim: cols, filters: {scope: [physical, both], time_resolution: [hourly]}</t>
  </si>
  <si>
    <t>CUR_y</t>
  </si>
  <si>
    <t xml:space="preserve">curtailment by year </t>
  </si>
  <si>
    <t>dim: cols, filters: {scope: [physical, both]}</t>
  </si>
  <si>
    <t>curtailment by year | yearly products</t>
  </si>
  <si>
    <t>CUR_yy</t>
  </si>
  <si>
    <t>dim: cols, filters: {scope: [physical, both], time_resolution: [yearly]}</t>
  </si>
  <si>
    <t>final demand coefficients by product - physical</t>
  </si>
  <si>
    <t>dim: rows, filters: {scope: [physical, both]}</t>
  </si>
  <si>
    <t>dim: rows, filters: {scope: [physical, both], time_resolution: [yearly]}</t>
  </si>
  <si>
    <t>dim: rows, filters: {scope: [physical, both], time_resolution: [hourly]}</t>
  </si>
  <si>
    <t>E_hist_ex</t>
  </si>
  <si>
    <t>demand by product - physical - historical</t>
  </si>
  <si>
    <t>dim: intra, filters: {time_scope: [historical]}</t>
  </si>
  <si>
    <t>EE</t>
  </si>
  <si>
    <t xml:space="preserve">final demand by product - physical </t>
  </si>
  <si>
    <t>E_tot</t>
  </si>
  <si>
    <t>final demand by product - physical | modelled years</t>
  </si>
  <si>
    <t>dim: intra, filters: {time_scope: [model]}</t>
  </si>
  <si>
    <t>final demand by product - physical | historical years</t>
  </si>
  <si>
    <t>final demand by product - physical | modelled years - yearly products</t>
  </si>
  <si>
    <t>final demand by product - physical | modelled years - hourly products</t>
  </si>
  <si>
    <t>i_c</t>
  </si>
  <si>
    <t>i_c_cap</t>
  </si>
  <si>
    <t>sum_vector</t>
  </si>
  <si>
    <t>i_c_env</t>
  </si>
  <si>
    <t>i_h</t>
  </si>
  <si>
    <t>sum vector - by hours</t>
  </si>
  <si>
    <t>i_p</t>
  </si>
  <si>
    <t>sum vector - by product</t>
  </si>
  <si>
    <t>i_pe</t>
  </si>
  <si>
    <t>sum vector - by product env</t>
  </si>
  <si>
    <t xml:space="preserve">sector by technology identity </t>
  </si>
  <si>
    <t>sectors, technologies</t>
  </si>
  <si>
    <t>dim: rows, filters: {region: [domestic]}</t>
  </si>
  <si>
    <t>sector by technology identity | yearly</t>
  </si>
  <si>
    <t>dim: rows, filters: {region: [domestic], time_resolution: [yearly]}</t>
  </si>
  <si>
    <t>dim: cols, filters: {type_physical: [intermediate], time_resolution: [yearly]}</t>
  </si>
  <si>
    <t>sector by technology identity | hourly</t>
  </si>
  <si>
    <t>dim: rows, filters: {region: [domestic], time_resolution: [hourly]}</t>
  </si>
  <si>
    <t>dim: cols, filters: {type_physical: [intermediate], time_resolution: [hourly]}</t>
  </si>
  <si>
    <t>sector by technology identity | blend</t>
  </si>
  <si>
    <t>dim: rows, filters: {region: [domestic], type: [blender]}</t>
  </si>
  <si>
    <t>dim: cols, filters: {type_physical: [intermediate], type: [blender]}</t>
  </si>
  <si>
    <t>i_tf</t>
  </si>
  <si>
    <t>sum vector - by final technology</t>
  </si>
  <si>
    <t>dim: rows, filters: {type_physical: [final]}</t>
  </si>
  <si>
    <t>i_ti</t>
  </si>
  <si>
    <t>sum vector - by intermediate technology</t>
  </si>
  <si>
    <t>dim: rows, filters: {type_physical: [intermediate]}</t>
  </si>
  <si>
    <t>i_ti_cap</t>
  </si>
  <si>
    <t>sum vector - by intermediate technology with capacity</t>
  </si>
  <si>
    <t>dim: cols, filters: {type_physical: [intermediate], capacity: [True]}</t>
  </si>
  <si>
    <t>i_y</t>
  </si>
  <si>
    <t>sum vector - by years</t>
  </si>
  <si>
    <t>imports by products coefficients - physical</t>
  </si>
  <si>
    <t>dim: rows, filters: {region: [row]}</t>
  </si>
  <si>
    <t>imports by products matrix - physical</t>
  </si>
  <si>
    <t>imports by products matrix - physical | hourly products</t>
  </si>
  <si>
    <t>imports by hourly products - by hour - physical</t>
  </si>
  <si>
    <t>Q_y_b</t>
  </si>
  <si>
    <t>dim: cols, filters: {scope: [physical, both], type: [blend_out]}</t>
  </si>
  <si>
    <t>environmental transactions filters - captured</t>
  </si>
  <si>
    <t>dim: intra, filters: {type: [emissions by prod]}</t>
  </si>
  <si>
    <t>environmental transactions filters - transferred</t>
  </si>
  <si>
    <t>environmental transactions - by technology | intermediate tech</t>
  </si>
  <si>
    <t>environmental transactions - by technology | final tech</t>
  </si>
  <si>
    <t>environmental transactions - by product | intra-set product env</t>
  </si>
  <si>
    <t>r_v_env_p</t>
  </si>
  <si>
    <t>environmental transactions - by product | blend out products</t>
  </si>
  <si>
    <t>r_v_b_out</t>
  </si>
  <si>
    <t>environmental transactions - by product | blend in products</t>
  </si>
  <si>
    <t>r_v_b_in</t>
  </si>
  <si>
    <t>dim: cols, filters: {scope: [physical, both], type: [blend_in]}</t>
  </si>
  <si>
    <t>environmental transactions - by product-technology</t>
  </si>
  <si>
    <t>products_env, technologies, years</t>
  </si>
  <si>
    <t>rates</t>
  </si>
  <si>
    <t xml:space="preserve">economic rates | discount rate </t>
  </si>
  <si>
    <t>economic_data, years</t>
  </si>
  <si>
    <t>er_d</t>
  </si>
  <si>
    <t>dim: rows, filters: {type: [discount]}</t>
  </si>
  <si>
    <t xml:space="preserve">economic rates | interest rate </t>
  </si>
  <si>
    <t>er_i</t>
  </si>
  <si>
    <t>dim: rows, filters: {type: [interest]}</t>
  </si>
  <si>
    <t>RR_tot</t>
  </si>
  <si>
    <t>total environmental transactions by technology | emiss by prod - intermediate tech - net - per product env</t>
  </si>
  <si>
    <t>R_vu_net_tot_pe</t>
  </si>
  <si>
    <t>total environmental transactions by technology | emiss by prod - intermediate tech - net</t>
  </si>
  <si>
    <t>R_vu_net_tot</t>
  </si>
  <si>
    <t>RR_vu_C</t>
  </si>
  <si>
    <t xml:space="preserve">total environmental transactions by technology and product - emiss by prod - captured | intermediate tech </t>
  </si>
  <si>
    <t>R_vu_C</t>
  </si>
  <si>
    <t>total environmental transactions by technology and product - emiss by prod | intermediate tech</t>
  </si>
  <si>
    <t>total environmental transactions by technology and product - emiss by prod | final tech</t>
  </si>
  <si>
    <t>SOC</t>
  </si>
  <si>
    <t xml:space="preserve">state of charge </t>
  </si>
  <si>
    <t>state of charge | storage tech</t>
  </si>
  <si>
    <t>SOC_st</t>
  </si>
  <si>
    <t>state of charge | storage_plus tech</t>
  </si>
  <si>
    <t>SOC_st_p</t>
  </si>
  <si>
    <t>state of charge | last hour</t>
  </si>
  <si>
    <t>SOC_end</t>
  </si>
  <si>
    <t>dim: rows, filters: {last_hour: [True]}</t>
  </si>
  <si>
    <t>T_hh</t>
  </si>
  <si>
    <t>lower triangular matrix - hours</t>
  </si>
  <si>
    <t>lower_triangular</t>
  </si>
  <si>
    <t>T_yy</t>
  </si>
  <si>
    <t>lower triangular matrix - years</t>
  </si>
  <si>
    <t>tech_info</t>
  </si>
  <si>
    <t>physical_data, technologies</t>
  </si>
  <si>
    <t>dc</t>
  </si>
  <si>
    <t>dim: rows, filters: {type: [dec_to_cons]}</t>
  </si>
  <si>
    <t>co</t>
  </si>
  <si>
    <t>dim: rows, filters: {type: [cons_to_ope]}</t>
  </si>
  <si>
    <t>technical information | operative lifetime</t>
  </si>
  <si>
    <t>lt_o</t>
  </si>
  <si>
    <t>technical information | financial lifetime</t>
  </si>
  <si>
    <t>lt_f</t>
  </si>
  <si>
    <t>dim: rows, filters: {type: [financial]}</t>
  </si>
  <si>
    <t>technical information | initial operative lifetime</t>
  </si>
  <si>
    <t>lt_o_i</t>
  </si>
  <si>
    <t>dim: rows, filters: {type: [operative_init]}</t>
  </si>
  <si>
    <t>technical information | disposal shape factor</t>
  </si>
  <si>
    <t>dim: rows, filters: {type: [disposal]}</t>
  </si>
  <si>
    <t>technical information | initial operative capacity</t>
  </si>
  <si>
    <t>Cap_op_in</t>
  </si>
  <si>
    <t>dim: rows, filters: {type: [capacity]}</t>
  </si>
  <si>
    <t>dim: rows, filters: {type: [av_y_max]}</t>
  </si>
  <si>
    <t>dim: rows, filters: {type: [av_y_min]}</t>
  </si>
  <si>
    <t>dim: rows, filters: {type: [soc_min]}</t>
  </si>
  <si>
    <t>soc_in_st</t>
  </si>
  <si>
    <t>dim: rows, filters: {type: [soc_in]}</t>
  </si>
  <si>
    <t>soc_in_st_p</t>
  </si>
  <si>
    <t>dim: rows, filters: {type: [soc_end]}</t>
  </si>
  <si>
    <t>technical information | maximum discharge of stor tech (%)</t>
  </si>
  <si>
    <t>max_dis_st</t>
  </si>
  <si>
    <t>dim: rows, filters: {type: [max_dis]}</t>
  </si>
  <si>
    <t>technical information | maximum charge of stor tech (%)</t>
  </si>
  <si>
    <t>max_ch_st</t>
  </si>
  <si>
    <t>dim: rows, filters: {type: [max_ch]}</t>
  </si>
  <si>
    <t xml:space="preserve">technical information | maximum charge of stor_plus tech (%) </t>
  </si>
  <si>
    <t>max_ch_st_p</t>
  </si>
  <si>
    <t>use coefficients - physical</t>
  </si>
  <si>
    <t>use coefficients - physical | yearly  products - yearly technologies</t>
  </si>
  <si>
    <t>use coefficients - physical | yearly products - hourly technologies</t>
  </si>
  <si>
    <t xml:space="preserve">dim: rows, filters: {scope: [physical, both], time_resolution: [yearly]} </t>
  </si>
  <si>
    <t>use coefficients - physical | hourly products - yearly technologies</t>
  </si>
  <si>
    <t>use coefficients - physical | hourly products - hourly technologies</t>
  </si>
  <si>
    <t xml:space="preserve">use coefficients - physical | blend </t>
  </si>
  <si>
    <t>dim: rows, filters: {scope: [physical, both], type: [blend_in]}</t>
  </si>
  <si>
    <t>use matrix - physical</t>
  </si>
  <si>
    <t>make coefficients - physical</t>
  </si>
  <si>
    <t>make coefficients - physical | yearly sectors and products</t>
  </si>
  <si>
    <t>make coefficients - physical | hourly sectors and products</t>
  </si>
  <si>
    <t xml:space="preserve">make coefficients - physical | blend </t>
  </si>
  <si>
    <t>make matrix - physical</t>
  </si>
  <si>
    <t>X_e_mod</t>
  </si>
  <si>
    <t>activity by technology by hour | per year</t>
  </si>
  <si>
    <t>X_h_st</t>
  </si>
  <si>
    <t>X_h_st_p</t>
  </si>
  <si>
    <t>activity by technology by hour | vehicle BEV</t>
  </si>
  <si>
    <t>X_h_bev</t>
  </si>
  <si>
    <t>dim: cols, filters: {type_physical: [intermediate], time_resolution: [hourly], type: [conv_BEV]}</t>
  </si>
  <si>
    <t>X_h_nst</t>
  </si>
  <si>
    <t>activity by technology by year | yearly technologies</t>
  </si>
  <si>
    <t>activity by technology by year | hourly technologies</t>
  </si>
  <si>
    <t>activity by technology by year | blend technologies</t>
  </si>
  <si>
    <t>X_y_b</t>
  </si>
  <si>
    <t>problem_key</t>
  </si>
  <si>
    <t>expressions</t>
  </si>
  <si>
    <t>E_hist == E_hist_ex</t>
  </si>
  <si>
    <t>demand by product | historical years</t>
  </si>
  <si>
    <t>E == mult(e, X_e_mod)</t>
  </si>
  <si>
    <t>demand by product | modelled years</t>
  </si>
  <si>
    <t>tran(Q_yy) - u_yy @ tran(X_yy) - u_yh @ tran(X_yh) - E_y @ i_tf - tran(CUR_yy) == 0</t>
  </si>
  <si>
    <t xml:space="preserve">leontief primal model | products demand-supply balance - yearly </t>
  </si>
  <si>
    <t xml:space="preserve">leontief primal model | products demand-supply balance - hourly </t>
  </si>
  <si>
    <t>I_yy @ tran(X_yy) - v_yy @ tran(Q_yy)== 0</t>
  </si>
  <si>
    <t xml:space="preserve">leontief primal model | technology assumption (industry-based) | yearly </t>
  </si>
  <si>
    <t>I_hh @ tran(X_h) - v_hh @ tran(Q_h) == 0</t>
  </si>
  <si>
    <t xml:space="preserve">leontief primal model | technology assumption (industry-based) | hourly </t>
  </si>
  <si>
    <t>leontief primal model | total hourly demand</t>
  </si>
  <si>
    <t>M_h == mult(mult(dp, M_yh), 8760 / pl_h)</t>
  </si>
  <si>
    <t>leontief primal model | total hourly imports</t>
  </si>
  <si>
    <t>leontief primal model | total hourly activity</t>
  </si>
  <si>
    <t>V == mult(v, Q_y)</t>
  </si>
  <si>
    <t>leontief primal model | total transactions tables</t>
  </si>
  <si>
    <t>U == mult(u, X_y)</t>
  </si>
  <si>
    <t>M == mult(m, Q_y)</t>
  </si>
  <si>
    <t>R_u == mult(r_u, X_y)</t>
  </si>
  <si>
    <t>environmental transactions | by (physical) intermediate technology</t>
  </si>
  <si>
    <t>R_e == mult(r_e, X_e)</t>
  </si>
  <si>
    <t>environmental transactions | by (physical) final technology</t>
  </si>
  <si>
    <t>R_vu == mult(mult(tran(r_v_env_p), U), (1 - r_T)) + mult(r_vu, (tran(v) @ I_st @ diag(X_y)))</t>
  </si>
  <si>
    <t>environmental transactions | by product env by (physical) intermediate technology</t>
  </si>
  <si>
    <t>environmental transactions | by product env by (physical) intermediate technology - captured</t>
  </si>
  <si>
    <t>R_ve == mult(tran(r_v_env_p), E_tot)</t>
  </si>
  <si>
    <t>environmental transactions|  by product env by (physical) final technology</t>
  </si>
  <si>
    <t>r_v_b_out @ diag(Q_y_b) - r_v_b_in @ u_b @ diag(X_y_b) @ tran(I_b) @ v_b == 0</t>
  </si>
  <si>
    <t>unit emissions of blended flow</t>
  </si>
  <si>
    <t>capacity balance | new financed capacity</t>
  </si>
  <si>
    <t xml:space="preserve">capacity balance | new built capacity </t>
  </si>
  <si>
    <t xml:space="preserve">capacity balance | disposed built capacity </t>
  </si>
  <si>
    <t xml:space="preserve">capacity balance | disposed initial capacity </t>
  </si>
  <si>
    <t>Cap_op == Cap_op_in + (Cap_n_bu + Cap_d_bu + Cap_d_in) @ tran(T_yy)</t>
  </si>
  <si>
    <t xml:space="preserve">capacity balance | operative capacity </t>
  </si>
  <si>
    <t>environmental transactions | sum per row of R_vu_net</t>
  </si>
  <si>
    <t>C_cap == mult(c_cap, Cap_n_fi)</t>
  </si>
  <si>
    <t xml:space="preserve">economic balances | capex of new financed capacity </t>
  </si>
  <si>
    <t>economic balances | discounted capex of new financed capacity</t>
  </si>
  <si>
    <t>C_rv == mult(c_rv, R_vu_net_tot)</t>
  </si>
  <si>
    <t>economic balances | total discounted cost of env transactions per product env</t>
  </si>
  <si>
    <t>C_r_d_tot == i_pe @ C_r_d_pe</t>
  </si>
  <si>
    <t>economic balances | total discounted cost of env transactions</t>
  </si>
  <si>
    <t>availability balances | hourly balance</t>
  </si>
  <si>
    <t>availability balances | yearly balance</t>
  </si>
  <si>
    <t>state of charge | storage technologies</t>
  </si>
  <si>
    <t>state of charge | storage_plus technologies</t>
  </si>
  <si>
    <t>SOC &lt;= Cap_op_h_st_all</t>
  </si>
  <si>
    <t>storage balances | state of charge lower than maximum capacity</t>
  </si>
  <si>
    <t>SOC &gt;=  mult(Cap_op_h_st_all, soc_min)</t>
  </si>
  <si>
    <t>storage balances | state of charge greater than minimum state of charge</t>
  </si>
  <si>
    <t>storage balances | constraint on state of charge at the end of the period</t>
  </si>
  <si>
    <t>X_h_st &lt;= mult(max_dis_st, i_h @ Cap_op_h_st)</t>
  </si>
  <si>
    <t>storage balances | discharge of stor technologies lower than maximum hourly discharge</t>
  </si>
  <si>
    <t>X_h_st &gt;= mult(-max_ch_st, i_h @ Cap_op_h_st)</t>
  </si>
  <si>
    <t xml:space="preserve">storage balances | charge of stor technologies greater than maximum hourly charge (negative values) </t>
  </si>
  <si>
    <t>X_h_st_p &gt;= mult(-max_ch_st_p, i_h @ Cap_op_h_st_p)</t>
  </si>
  <si>
    <t xml:space="preserve">storage balances | charge of stor_plus technologies greater than maximum hourly charge (negative values) </t>
  </si>
  <si>
    <t>X_h_st_p &lt;= 0</t>
  </si>
  <si>
    <t xml:space="preserve">storage balances | negativity of activities of stor_plus technologies </t>
  </si>
  <si>
    <t>Minimize( C_tot_y @ i_y)</t>
  </si>
  <si>
    <t>minimization of total costs</t>
  </si>
  <si>
    <t>id</t>
  </si>
  <si>
    <t>technologies_Name</t>
  </si>
  <si>
    <t>technologies_type_physical</t>
  </si>
  <si>
    <t>technologies_type_economic</t>
  </si>
  <si>
    <t>technologies_time_resolution</t>
  </si>
  <si>
    <t>technologies_region</t>
  </si>
  <si>
    <t>technologies_type</t>
  </si>
  <si>
    <t>technologies_capacity</t>
  </si>
  <si>
    <t>technologies_eco_unit</t>
  </si>
  <si>
    <t>technologies_phy_unit</t>
  </si>
  <si>
    <t>technologies_phy_capacity_unit</t>
  </si>
  <si>
    <t>24._</t>
  </si>
  <si>
    <t>intermediate</t>
  </si>
  <si>
    <t>domestic</t>
  </si>
  <si>
    <t>MEUR</t>
  </si>
  <si>
    <t>VO</t>
  </si>
  <si>
    <t>V86</t>
  </si>
  <si>
    <t>yearly</t>
  </si>
  <si>
    <t>TWh</t>
  </si>
  <si>
    <t>07-08-09.90</t>
  </si>
  <si>
    <t>VL</t>
  </si>
  <si>
    <t>Mton</t>
  </si>
  <si>
    <t>hourly</t>
  </si>
  <si>
    <t>35.13-35.14</t>
  </si>
  <si>
    <t>V47</t>
  </si>
  <si>
    <t>V45</t>
  </si>
  <si>
    <t>V46</t>
  </si>
  <si>
    <t>VF</t>
  </si>
  <si>
    <t>20._</t>
  </si>
  <si>
    <t>29.10.24.50</t>
  </si>
  <si>
    <t>V30</t>
  </si>
  <si>
    <t>23._</t>
  </si>
  <si>
    <t>27.10.24.30/10</t>
  </si>
  <si>
    <t>27.10.23</t>
  </si>
  <si>
    <t>V22</t>
  </si>
  <si>
    <t>29.10.24.51</t>
  </si>
  <si>
    <t>29.10.24.30/10</t>
  </si>
  <si>
    <t>29.10.23</t>
  </si>
  <si>
    <t>V17</t>
  </si>
  <si>
    <t>V26</t>
  </si>
  <si>
    <t>MtonCO2_avoided</t>
  </si>
  <si>
    <t>V28</t>
  </si>
  <si>
    <t>V31_32</t>
  </si>
  <si>
    <t>V21</t>
  </si>
  <si>
    <t>V25</t>
  </si>
  <si>
    <t>TW</t>
  </si>
  <si>
    <t>Mm2</t>
  </si>
  <si>
    <t>35.3</t>
  </si>
  <si>
    <t>fitti imputati</t>
  </si>
  <si>
    <t>V37_39</t>
  </si>
  <si>
    <t>Imports/Exports</t>
  </si>
  <si>
    <t>V16</t>
  </si>
  <si>
    <t>V10_12</t>
  </si>
  <si>
    <t>V13_15</t>
  </si>
  <si>
    <t>VP</t>
  </si>
  <si>
    <t>V03</t>
  </si>
  <si>
    <t>V01</t>
  </si>
  <si>
    <t>V62_63</t>
  </si>
  <si>
    <t>V36</t>
  </si>
  <si>
    <t>V72</t>
  </si>
  <si>
    <t>VI</t>
  </si>
  <si>
    <t>V61</t>
  </si>
  <si>
    <t>potrebbe essere sufficiente passare al mod economico la capacità di batterie da acquistare</t>
  </si>
  <si>
    <t>V50</t>
  </si>
  <si>
    <t>V51</t>
  </si>
  <si>
    <t>49.1-49.2</t>
  </si>
  <si>
    <t>MVkm-ton</t>
  </si>
  <si>
    <t>Mvehicles</t>
  </si>
  <si>
    <t>MVkm</t>
  </si>
  <si>
    <t>sectors_Name</t>
  </si>
  <si>
    <t>sectors_time_resolution</t>
  </si>
  <si>
    <t>sectors_region</t>
  </si>
  <si>
    <t>sectors_type</t>
  </si>
  <si>
    <t>products_Name</t>
  </si>
  <si>
    <t>products_scope</t>
  </si>
  <si>
    <t>products_time_resolution</t>
  </si>
  <si>
    <t>products_type</t>
  </si>
  <si>
    <t>products_eco_unit</t>
  </si>
  <si>
    <t>products_phy_unit</t>
  </si>
  <si>
    <t>R36</t>
  </si>
  <si>
    <t>economic</t>
  </si>
  <si>
    <t>27._</t>
  </si>
  <si>
    <t>R30</t>
  </si>
  <si>
    <t>07.29</t>
  </si>
  <si>
    <t>24_</t>
  </si>
  <si>
    <t>R78</t>
  </si>
  <si>
    <t>R79</t>
  </si>
  <si>
    <t>R22</t>
  </si>
  <si>
    <t>27.2</t>
  </si>
  <si>
    <t>both</t>
  </si>
  <si>
    <t>prodotti da dividere nella sut economica</t>
  </si>
  <si>
    <t>R17</t>
  </si>
  <si>
    <t>27.90.09.10</t>
  </si>
  <si>
    <t>R19</t>
  </si>
  <si>
    <t>puro servizio di trasporto (il gas fisico non passa di qui)</t>
  </si>
  <si>
    <t>35.13</t>
  </si>
  <si>
    <t>proposta aggiustamento (vedere nota energia elettrica)</t>
  </si>
  <si>
    <t>27.90.09.11</t>
  </si>
  <si>
    <t>physical</t>
  </si>
  <si>
    <t>è necessario creare questi gruppi di energia elettrica (elettrolizzatori consumano solo energia elettrica rinnovabile)</t>
  </si>
  <si>
    <t>consumo delle sole auto BEV (serve solo nel modello fisico)</t>
  </si>
  <si>
    <t>da aggiungere in sut economica</t>
  </si>
  <si>
    <t>RF</t>
  </si>
  <si>
    <t>R16</t>
  </si>
  <si>
    <t>R31_32</t>
  </si>
  <si>
    <t>27.11.93-95</t>
  </si>
  <si>
    <t>R03</t>
  </si>
  <si>
    <t>R10_12</t>
  </si>
  <si>
    <t>R01</t>
  </si>
  <si>
    <t>R21</t>
  </si>
  <si>
    <t>R25</t>
  </si>
  <si>
    <t>R26</t>
  </si>
  <si>
    <t>R13_15</t>
  </si>
  <si>
    <t>R90_92</t>
  </si>
  <si>
    <t>R33</t>
  </si>
  <si>
    <t>R37_39</t>
  </si>
  <si>
    <t>R51</t>
  </si>
  <si>
    <t>R50</t>
  </si>
  <si>
    <t>solo inteso come servizio a pagamento</t>
  </si>
  <si>
    <t>R66</t>
  </si>
  <si>
    <t>RL</t>
  </si>
  <si>
    <t>R86</t>
  </si>
  <si>
    <t>disaccoppiare da tutti i settori le spese per acquisto vettori energetici per riscaldamento/raffrescamento edifici (fitti imputati)</t>
  </si>
  <si>
    <t>49.5</t>
  </si>
  <si>
    <t>hours_Name</t>
  </si>
  <si>
    <t>hours_last_hour</t>
  </si>
  <si>
    <t>hours_season</t>
  </si>
  <si>
    <t>s1h0</t>
  </si>
  <si>
    <t>winter</t>
  </si>
  <si>
    <t>s1h1</t>
  </si>
  <si>
    <t>s1h2</t>
  </si>
  <si>
    <t>s1h3</t>
  </si>
  <si>
    <t>s1h4</t>
  </si>
  <si>
    <t>s1h5</t>
  </si>
  <si>
    <t>s1h6</t>
  </si>
  <si>
    <t>s1h7</t>
  </si>
  <si>
    <t>s1h8</t>
  </si>
  <si>
    <t>s1h9</t>
  </si>
  <si>
    <t>s1h10</t>
  </si>
  <si>
    <t>s1h11</t>
  </si>
  <si>
    <t>s1h12</t>
  </si>
  <si>
    <t>s1h13</t>
  </si>
  <si>
    <t>s1h14</t>
  </si>
  <si>
    <t>s1h15</t>
  </si>
  <si>
    <t>s1h16</t>
  </si>
  <si>
    <t>s1h17</t>
  </si>
  <si>
    <t>s1h18</t>
  </si>
  <si>
    <t>s1h19</t>
  </si>
  <si>
    <t>s1h20</t>
  </si>
  <si>
    <t>s1h21</t>
  </si>
  <si>
    <t>s1h22</t>
  </si>
  <si>
    <t>s1h23</t>
  </si>
  <si>
    <t>TRUE</t>
  </si>
  <si>
    <t>s2h0</t>
  </si>
  <si>
    <t>spring</t>
  </si>
  <si>
    <t>s2h1</t>
  </si>
  <si>
    <t>s2h2</t>
  </si>
  <si>
    <t>s2h3</t>
  </si>
  <si>
    <t>s2h4</t>
  </si>
  <si>
    <t>s2h5</t>
  </si>
  <si>
    <t>s2h6</t>
  </si>
  <si>
    <t>s2h7</t>
  </si>
  <si>
    <t>s2h8</t>
  </si>
  <si>
    <t>s2h9</t>
  </si>
  <si>
    <t>s2h10</t>
  </si>
  <si>
    <t>s2h11</t>
  </si>
  <si>
    <t>s2h12</t>
  </si>
  <si>
    <t>s2h13</t>
  </si>
  <si>
    <t>s2h14</t>
  </si>
  <si>
    <t>s2h15</t>
  </si>
  <si>
    <t>s2h16</t>
  </si>
  <si>
    <t>s2h17</t>
  </si>
  <si>
    <t>s2h18</t>
  </si>
  <si>
    <t>s2h19</t>
  </si>
  <si>
    <t>s2h20</t>
  </si>
  <si>
    <t>s2h21</t>
  </si>
  <si>
    <t>s2h22</t>
  </si>
  <si>
    <t>s2h23</t>
  </si>
  <si>
    <t>s3h0</t>
  </si>
  <si>
    <t>summer</t>
  </si>
  <si>
    <t>s3h1</t>
  </si>
  <si>
    <t>s3h2</t>
  </si>
  <si>
    <t>s3h3</t>
  </si>
  <si>
    <t>s3h4</t>
  </si>
  <si>
    <t>s3h5</t>
  </si>
  <si>
    <t>s3h6</t>
  </si>
  <si>
    <t>s3h7</t>
  </si>
  <si>
    <t>s3h8</t>
  </si>
  <si>
    <t>s3h9</t>
  </si>
  <si>
    <t>s3h10</t>
  </si>
  <si>
    <t>s3h11</t>
  </si>
  <si>
    <t>s3h12</t>
  </si>
  <si>
    <t>s3h13</t>
  </si>
  <si>
    <t>s3h14</t>
  </si>
  <si>
    <t>s3h15</t>
  </si>
  <si>
    <t>s3h16</t>
  </si>
  <si>
    <t>s3h17</t>
  </si>
  <si>
    <t>s3h18</t>
  </si>
  <si>
    <t>s3h19</t>
  </si>
  <si>
    <t>s3h20</t>
  </si>
  <si>
    <t>s3h21</t>
  </si>
  <si>
    <t>s3h22</t>
  </si>
  <si>
    <t>s3h23</t>
  </si>
  <si>
    <t>s4h0</t>
  </si>
  <si>
    <t>fall</t>
  </si>
  <si>
    <t>s4h1</t>
  </si>
  <si>
    <t>s4h2</t>
  </si>
  <si>
    <t>s4h3</t>
  </si>
  <si>
    <t>s4h4</t>
  </si>
  <si>
    <t>s4h5</t>
  </si>
  <si>
    <t>s4h6</t>
  </si>
  <si>
    <t>s4h7</t>
  </si>
  <si>
    <t>s4h8</t>
  </si>
  <si>
    <t>s4h9</t>
  </si>
  <si>
    <t>s4h10</t>
  </si>
  <si>
    <t>s4h11</t>
  </si>
  <si>
    <t>s4h12</t>
  </si>
  <si>
    <t>s4h13</t>
  </si>
  <si>
    <t>s4h14</t>
  </si>
  <si>
    <t>s4h15</t>
  </si>
  <si>
    <t>s4h16</t>
  </si>
  <si>
    <t>s4h17</t>
  </si>
  <si>
    <t>s4h18</t>
  </si>
  <si>
    <t>s4h19</t>
  </si>
  <si>
    <t>s4h20</t>
  </si>
  <si>
    <t>s4h21</t>
  </si>
  <si>
    <t>s4h22</t>
  </si>
  <si>
    <t>s4h23</t>
  </si>
  <si>
    <t>years_Name</t>
  </si>
  <si>
    <t>years_time_scope</t>
  </si>
  <si>
    <t>model</t>
  </si>
  <si>
    <t>products_env_Name</t>
  </si>
  <si>
    <t>products_env_unit</t>
  </si>
  <si>
    <t>products_env_type</t>
  </si>
  <si>
    <t>products_env_emissions_category</t>
  </si>
  <si>
    <t>primary resources</t>
  </si>
  <si>
    <t>kton</t>
  </si>
  <si>
    <t>emissions by prod</t>
  </si>
  <si>
    <t>emissions by tech</t>
  </si>
  <si>
    <t>physical_data_Name</t>
  </si>
  <si>
    <t>physical_data_type</t>
  </si>
  <si>
    <t>Delay decision-to-construction</t>
  </si>
  <si>
    <t>Delay construction-to-operation</t>
  </si>
  <si>
    <t>Operative lifetime</t>
  </si>
  <si>
    <t>Financial lifetime</t>
  </si>
  <si>
    <t>Initial operative lifetime</t>
  </si>
  <si>
    <t>Disposal shape factor</t>
  </si>
  <si>
    <t>Maximum yearly availability</t>
  </si>
  <si>
    <t>Minimum yearly availability</t>
  </si>
  <si>
    <t>Initial operative capacity</t>
  </si>
  <si>
    <t>Maximum hourly availability</t>
  </si>
  <si>
    <t>Minimum hourly availability</t>
  </si>
  <si>
    <t>capacities_Name</t>
  </si>
  <si>
    <t>capacities_type</t>
  </si>
  <si>
    <t>Planned capacity</t>
  </si>
  <si>
    <t>Financed capacity</t>
  </si>
  <si>
    <t>Built capacity</t>
  </si>
  <si>
    <t>Disposed built capacity</t>
  </si>
  <si>
    <t>Disposed initial capacity</t>
  </si>
  <si>
    <t>Operative capacity</t>
  </si>
  <si>
    <t>economic_data_Name</t>
  </si>
  <si>
    <t>economic_data_type</t>
  </si>
  <si>
    <t>Discount rate</t>
  </si>
  <si>
    <t>discount</t>
  </si>
  <si>
    <t>Interest rate</t>
  </si>
  <si>
    <t>interest</t>
  </si>
  <si>
    <t>costs_Name</t>
  </si>
  <si>
    <t>costs_type</t>
  </si>
  <si>
    <t>Capital cost</t>
  </si>
  <si>
    <t>Cost of environmental transactions</t>
  </si>
  <si>
    <t>Discounted capital cost</t>
  </si>
  <si>
    <t>Discounted cost of environmental transactions</t>
  </si>
  <si>
    <t>constraints_Name</t>
  </si>
  <si>
    <t>constraints_type</t>
  </si>
  <si>
    <t>Operative capacity | Maximum</t>
  </si>
  <si>
    <t>cap_op_max</t>
  </si>
  <si>
    <t>Operative capacity | Minimum</t>
  </si>
  <si>
    <t>cap_op_min</t>
  </si>
  <si>
    <t>Planned capacity | Maximum</t>
  </si>
  <si>
    <t>cap_pl_max</t>
  </si>
  <si>
    <t>Planned capacity | Minimum</t>
  </si>
  <si>
    <t>cap_pl_min</t>
  </si>
  <si>
    <t>Technology production share | Maximum</t>
  </si>
  <si>
    <t>Technology production share | Minimum</t>
  </si>
  <si>
    <t>C_r_d == mult(C_r, 1 / pow((1 + er_d),(pr_y-1)))</t>
  </si>
  <si>
    <t>constants_h</t>
  </si>
  <si>
    <t>constants_y</t>
  </si>
  <si>
    <t>er_d_y</t>
  </si>
  <si>
    <t>pr_y_y</t>
  </si>
  <si>
    <t>range of values in years set | years on cols</t>
  </si>
  <si>
    <t>Q_yh == mult(tran(i_h) @ Q_h, 8760 / pl_h)</t>
  </si>
  <si>
    <t>X_yh == mult(tran(i_h) @ X_h, 8760 / pl_h)</t>
  </si>
  <si>
    <t>R_vu_C == mult(mult(tran(r_v_env_p), U), - r_C)</t>
  </si>
  <si>
    <t>costs_cost_unit</t>
  </si>
  <si>
    <t>delays</t>
  </si>
  <si>
    <t>delays | decision-to-construction</t>
  </si>
  <si>
    <t>delays | construction-to-operation</t>
  </si>
  <si>
    <t>physical_data, technologies, years</t>
  </si>
  <si>
    <t>Cap_n_fi == Cap_n_pl @ tran(shift(pl_y, dc))</t>
  </si>
  <si>
    <t>Cap_n_bu == Cap_n_fi @ tran(shift(pl_y, co))</t>
  </si>
  <si>
    <t>C_cap_d == mult(C_cap @ tran(annuity(pl_y, lt_f, er_i)), 1 / pow((1 + er_d_y),(pr_y_y-1)))</t>
  </si>
  <si>
    <r>
      <t>Cap_d_in == Cap_op_in @ -tran(weib(lt_o_i, sf,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pr_y_y, 1))</t>
    </r>
  </si>
  <si>
    <t>Cap_d_bu == Cap_n_bu @ -tran(weib(lt_o, sf, pr_y_y, 2))</t>
  </si>
  <si>
    <t>constants_oth</t>
  </si>
  <si>
    <t>range of values in years set | years on intra (defined as exogenous var to have years as intra-set)</t>
  </si>
  <si>
    <t>left blank</t>
  </si>
  <si>
    <t>scenarios</t>
  </si>
  <si>
    <t>scenarios_Name</t>
  </si>
  <si>
    <t>products_env, products, years, scenarios</t>
  </si>
  <si>
    <t>capacities, technologies, years, scenarios</t>
  </si>
  <si>
    <t>years, scenarios</t>
  </si>
  <si>
    <t>technologies, years, costs, products_env, scenarios</t>
  </si>
  <si>
    <t>technologies, years, costs, scenarios</t>
  </si>
  <si>
    <t>products, years, hours, scenarios</t>
  </si>
  <si>
    <t>products, years, scenarios</t>
  </si>
  <si>
    <t>products, technologies, years, scenarios</t>
  </si>
  <si>
    <t>sectors, products, years, scenarios</t>
  </si>
  <si>
    <t>products, years, hours , scenarios</t>
  </si>
  <si>
    <t>products_env, technologies, years, scenarios</t>
  </si>
  <si>
    <t>products_env, products, technologies, years, scenarios</t>
  </si>
  <si>
    <t>technologies, years, hours , scenarios</t>
  </si>
  <si>
    <t>technologies, years, scenarios</t>
  </si>
  <si>
    <t>technologies, years, constraints, scenarios</t>
  </si>
  <si>
    <t>Reference</t>
  </si>
  <si>
    <t>Greenhouse gases - CO2eq</t>
  </si>
  <si>
    <t>unit: [kton, TWh], type: [emissions by tech, emissions by prod, primary resources], emissions_category: [Greenhouse gases - CO2eq]</t>
  </si>
  <si>
    <t>housing and DAC put to 0 even if unrealistic</t>
  </si>
  <si>
    <t>SOC_st == mult(soc_in_st, Cap_op_h_st) + T_hh @ (- X_h_st)</t>
  </si>
  <si>
    <t>technical information | initial state of charge (%) - storage tech</t>
  </si>
  <si>
    <t>technical information | initial state of charge (%) - storage_plus tech</t>
  </si>
  <si>
    <t>SOC_st_p == mult(soc_in_st_p, Cap_op_h_st_p) + T_hh @ (- X_h_st_p - X_h_bev)</t>
  </si>
  <si>
    <t>technical information | minimum state of charge (%)</t>
  </si>
  <si>
    <t>technical information | state of charge in the last hour (%)</t>
  </si>
  <si>
    <t>SOC_end == mult(soc_end, Cap_op_h_st_all)</t>
  </si>
  <si>
    <t>dim: rows, filters: {type: [emissions by tech]}</t>
  </si>
  <si>
    <t>cost coefficients of environmental transactions | emissions by technology</t>
  </si>
  <si>
    <t>cost coefficients of environmental transactions | emissions by product</t>
  </si>
  <si>
    <t>total environmental transactions by technology | emissions by technology and primary resources | final technology</t>
  </si>
  <si>
    <t>total environmental transactions by technology | emissions by technology and primary resources | intermediate technology</t>
  </si>
  <si>
    <t>total environmental transactions by technology | emissions by technology | intermediate technology</t>
  </si>
  <si>
    <t>R_u_tech</t>
  </si>
  <si>
    <t>C_ru == mult(c_ru, R_u_tech)</t>
  </si>
  <si>
    <t>economic balances | cost of environmental transactions (emissions by technology) for intermediate technologies</t>
  </si>
  <si>
    <t>economic balances | cost of environmental transactions (emissions by product) for intermediate technologies</t>
  </si>
  <si>
    <t>total costs of environmental transactions (intermediate technologies)</t>
  </si>
  <si>
    <t>total costs of environmental transactions | discounted (intermediate technologies)</t>
  </si>
  <si>
    <t>total costs of environmental transactions | emissions by technology (intermediate technologies)</t>
  </si>
  <si>
    <t>total costs of environmental transactions | emissions by product (intermediate technologies)</t>
  </si>
  <si>
    <t>total costs of environmental transactions | discounted per product env (intermediate technologies)</t>
  </si>
  <si>
    <t>by tech</t>
  </si>
  <si>
    <t>coal</t>
  </si>
  <si>
    <t>cost coefficients | capital costs</t>
  </si>
  <si>
    <t>technologies, years, costs</t>
  </si>
  <si>
    <t>c5</t>
  </si>
  <si>
    <t>sum vector - by costs | discounted capital costs</t>
  </si>
  <si>
    <t>sum vector - by costs | discounted costs of environmental transactions</t>
  </si>
  <si>
    <t>economic balances | discounted operational costs</t>
  </si>
  <si>
    <t>dim: intra, filters: {type: [imports]}</t>
  </si>
  <si>
    <t>total costs | capital costs</t>
  </si>
  <si>
    <t>total costs | capital costs - discounted</t>
  </si>
  <si>
    <t>total costs | capital costs (tech on rows) - discounted</t>
  </si>
  <si>
    <t>total costs | costs of environmental transactions - discounted</t>
  </si>
  <si>
    <t>sum vector - by sector row</t>
  </si>
  <si>
    <t>dim: cols, filters: {region: [row]}</t>
  </si>
  <si>
    <t>imports_dis</t>
  </si>
  <si>
    <t>i_s</t>
  </si>
  <si>
    <t>c6</t>
  </si>
  <si>
    <t>c7</t>
  </si>
  <si>
    <t>CAPACITY BALANCES</t>
  </si>
  <si>
    <t>environmental transactions by product</t>
  </si>
  <si>
    <t>Variable O&amp;M cost</t>
  </si>
  <si>
    <t>Discounted variable O&amp;M cost</t>
  </si>
  <si>
    <t>vopex</t>
  </si>
  <si>
    <t>vopex_dis</t>
  </si>
  <si>
    <t>Price of imports</t>
  </si>
  <si>
    <t>Fixed O&amp;M cost</t>
  </si>
  <si>
    <t>Discounted fixed O&amp;M cost</t>
  </si>
  <si>
    <t>fopex</t>
  </si>
  <si>
    <t>fopex_dis</t>
  </si>
  <si>
    <t>sectors, products, years, costs</t>
  </si>
  <si>
    <t>dim: rows, filters: {type: [vopex]}</t>
  </si>
  <si>
    <t>dim: rows, filters: {type: [vopex_dis]}</t>
  </si>
  <si>
    <t>C_var_op</t>
  </si>
  <si>
    <t>C_var_op_d</t>
  </si>
  <si>
    <t>c_var_op</t>
  </si>
  <si>
    <t>cost coefficients | variable O&amp;M costs</t>
  </si>
  <si>
    <t>C_var_op == c_var_op @ diag(X_y)</t>
  </si>
  <si>
    <t>C_var_op_d == mult(C_var_op, 1 / pow((1 + er_d),(pr_y-1)))</t>
  </si>
  <si>
    <t>cost coefficients | fixed O&amp;M costs</t>
  </si>
  <si>
    <t>c_fix_op</t>
  </si>
  <si>
    <t>dim: rows, filters: {type: [fopex]}</t>
  </si>
  <si>
    <t>C_fix_op == mult(c_fix_op, Cap_op)</t>
  </si>
  <si>
    <t>total costs | variable O&amp;M costs</t>
  </si>
  <si>
    <t>total costs | variable O&amp;M costs - discounted</t>
  </si>
  <si>
    <t>total costs | fixed O&amp;M costs</t>
  </si>
  <si>
    <t>C_fix_op</t>
  </si>
  <si>
    <t>total costs | fixed O&amp;M costs - discounted</t>
  </si>
  <si>
    <t>C_fix_op_d</t>
  </si>
  <si>
    <t>economic balances | fixed O&amp;M costs</t>
  </si>
  <si>
    <t>economic balances | variable O&amp;M costs</t>
  </si>
  <si>
    <t>economic balances | discounted fixed O&amp;M costs</t>
  </si>
  <si>
    <t>dim: rows, filters: {type: [fopex_dis]}</t>
  </si>
  <si>
    <t>total costs | fixed O&amp;M costs (tech on rows) - discounted</t>
  </si>
  <si>
    <t>C_fix_op_d_t</t>
  </si>
  <si>
    <t>dim: cols, filters: {type: [fopex_dis]}</t>
  </si>
  <si>
    <t>i_c_var_op</t>
  </si>
  <si>
    <t>sum vector - by costs | discounted fixed O&amp;M costs</t>
  </si>
  <si>
    <t>sum vector - by costs | discounted variable O&amp;M costs</t>
  </si>
  <si>
    <t>i_c_fix_op</t>
  </si>
  <si>
    <t>dim: cols, filters: {type: [vopex_dis]}</t>
  </si>
  <si>
    <t>p_m</t>
  </si>
  <si>
    <t>total costs | costs of environmental transactions (tech on rows) - discounted</t>
  </si>
  <si>
    <t>cap_to_act_y</t>
  </si>
  <si>
    <t>cap_to_act_h</t>
  </si>
  <si>
    <t>dim: rows, filters: {type: [cap_to_act_y]}</t>
  </si>
  <si>
    <t>Hourly capacity-to-activity conversion factor</t>
  </si>
  <si>
    <t>Yearly capacity-to-activity conversion factor</t>
  </si>
  <si>
    <t>type: [dec_to_cons, cons_to_ope, operative, financial, operative_init, disposal, capacity, av_y_max, av_y_min, av_h_max, av_h_min, soc_min, soc_in, soc_end, max_dis, max_ch, cap_to_act_h, cap_to_act_y]</t>
  </si>
  <si>
    <t>dim: intra, filters: {type: [emissions by tech, emissions by prod]}</t>
  </si>
  <si>
    <t>dim: rows, filters: {type: [emissions by tech, emissions by prod]}</t>
  </si>
  <si>
    <t>dim: cols, filters: {type: [emissions by prod, emissions by tech]}</t>
  </si>
  <si>
    <r>
      <t xml:space="preserve">R_vu_net_tot_pe == i_p @ (R_vu + </t>
    </r>
    <r>
      <rPr>
        <sz val="11"/>
        <rFont val="Calibri"/>
        <family val="2"/>
        <scheme val="minor"/>
      </rPr>
      <t>R_vu_C</t>
    </r>
    <r>
      <rPr>
        <sz val="11"/>
        <color theme="1"/>
        <rFont val="Calibri"/>
        <family val="2"/>
        <scheme val="minor"/>
      </rPr>
      <t>)</t>
    </r>
  </si>
  <si>
    <t>r_v_ex</t>
  </si>
  <si>
    <t>non-blend</t>
  </si>
  <si>
    <t>emissions of non-blended flows</t>
  </si>
  <si>
    <t>r_v_nb</t>
  </si>
  <si>
    <t>r_v_nb == r_v_ex</t>
  </si>
  <si>
    <t>dim: cols, filters: {scope: [physical, both], type: [non-blend, blend_in]}</t>
  </si>
  <si>
    <t>environmental transactions - by product (only exogenous) | non-blend and blend-in products</t>
  </si>
  <si>
    <t>environmental transactions - by product | non-blend and blend-in products</t>
  </si>
  <si>
    <t>tolerances_Name</t>
  </si>
  <si>
    <t>Tolerance on technology production share | Maximum</t>
  </si>
  <si>
    <t>Tolerance on technology production share | Minimum</t>
  </si>
  <si>
    <t>tolerances_constraint</t>
  </si>
  <si>
    <t>tolerances</t>
  </si>
  <si>
    <t>constraint: [cap_op_max, cap_op_min, cap_pl_max, cap_pl_min, share_max, share_min]</t>
  </si>
  <si>
    <t>tolerance</t>
  </si>
  <si>
    <t>tol_cap_op_max</t>
  </si>
  <si>
    <t>tol_cap_n_pl_max</t>
  </si>
  <si>
    <t>tolerance | maximum operative capacity (%)</t>
  </si>
  <si>
    <t>tolerance | maximum new planned capacity (%)</t>
  </si>
  <si>
    <t>dim: rows, filters: {constraint: [cap_op_max]}</t>
  </si>
  <si>
    <t>dim: rows, filters: {constraint: [cap_pl_max]}</t>
  </si>
  <si>
    <t>dim: rows, filters: {constraint: [share_max]}</t>
  </si>
  <si>
    <t>tol_cap_op_min</t>
  </si>
  <si>
    <t>tol_cap_n_pl_min</t>
  </si>
  <si>
    <t>tolerance | minimum operative capacity (%)</t>
  </si>
  <si>
    <t>tolerance | minimum new planned capacity (%)</t>
  </si>
  <si>
    <t>dim: rows, filters: {constraint: [cap_op_min]}</t>
  </si>
  <si>
    <t>dim: rows, filters: {constraint: [cap_pl_min]}</t>
  </si>
  <si>
    <t>dim: rows, filters: {constraint: [share_min]}</t>
  </si>
  <si>
    <t>Tolerance on operative capacity (%) | Maximum</t>
  </si>
  <si>
    <t>Tolerance on operative capacity (%) | Minimum</t>
  </si>
  <si>
    <t>Tolerance on planned capacity (%)| Maximum</t>
  </si>
  <si>
    <t>Tolerance on planned capacity (%)| Minimum</t>
  </si>
  <si>
    <t>Maximum discharge rate of storage technologies (%)</t>
  </si>
  <si>
    <t>Maximum charge rate of storage technologies (%)</t>
  </si>
  <si>
    <t>State of charge at the beginning of the period (%)</t>
  </si>
  <si>
    <t>State of charge at the end of the period (%)</t>
  </si>
  <si>
    <t>Minimum state of charge (%)</t>
  </si>
  <si>
    <t>tolerances, technologies, years</t>
  </si>
  <si>
    <t>X_y_cap_nst</t>
  </si>
  <si>
    <t>activity by technology by year | technologies with capacity (non-storage technologies)</t>
  </si>
  <si>
    <t>abs</t>
  </si>
  <si>
    <t>dim: intra, filters: {type_physical: [intermediate], capacity: [True], type: [abs, conv]}</t>
  </si>
  <si>
    <t>Cap_op_h_nst</t>
  </si>
  <si>
    <t>capacities | operative - hourly technologies - non-storage technologies</t>
  </si>
  <si>
    <t>capacities | operative - hourly technologies - storage technologies</t>
  </si>
  <si>
    <t>capacities | operative - hourly technologies - storage and storage_plus technologies</t>
  </si>
  <si>
    <t>capacities | operative - hourly technologies - storage_plus technologies</t>
  </si>
  <si>
    <t>dim: intra, filters: {type_physical: [intermediate], time_resolution: [hourly], capacity: [True], type: [abs, conv]}</t>
  </si>
  <si>
    <t>capacities | operative - non-storage technologies</t>
  </si>
  <si>
    <t>Cap_op_nst</t>
  </si>
  <si>
    <t>X_y_cap_nst &lt;= mult(Cap_op_nst, mult(av_y_max, cap_to_act_y))</t>
  </si>
  <si>
    <t>X_y_cap_nst &gt;= mult(Cap_op_nst, mult(av_y_min, cap_to_act_y))</t>
  </si>
  <si>
    <t>activity by technology by hour | capacity technology - non-storage technologies</t>
  </si>
  <si>
    <t>activity by technology by hour | non-storage technologies</t>
  </si>
  <si>
    <t>activity by technology by hour | storage technologies</t>
  </si>
  <si>
    <t>activity by technology by hour | storage_plus technologies</t>
  </si>
  <si>
    <t>X_h_cap_nst &lt;= mult(av_h_max, cap_to_act_h) @ Cap_op_h_nst</t>
  </si>
  <si>
    <t>X_h_cap_nst &gt;= mult(av_h_min, cap_to_act_h) @ Cap_op_h_nst</t>
  </si>
  <si>
    <t>X_h_cap_nst</t>
  </si>
  <si>
    <t>dim: cols, filters: {type_physical: [intermediate], time_resolution: [hourly], type: [conv, conv_BEV, trans, blender]}</t>
  </si>
  <si>
    <t>dim: cols, filters: {type_physical: [intermediate], time_resolution: [hourly], type: [stor]}</t>
  </si>
  <si>
    <t>dim: cols, filters: {type_physical: [intermediate], time_resolution: [hourly], type: [stor_plus]}</t>
  </si>
  <si>
    <t>technical information | conversion factor from technology capacity to technology activity - hourly technologies (except storage)</t>
  </si>
  <si>
    <t>technical information | conversion factor from technology capacity to technology activity - all technologies (except storage)</t>
  </si>
  <si>
    <t>dim: intra, filters: {type_physical: [intermediate], time_resolution: [hourly], capacity: [True], type: [conv]}</t>
  </si>
  <si>
    <t>hourly availability | max (not defined for storage technologies)</t>
  </si>
  <si>
    <t>hourly availability | min (not defined for storage technologies)</t>
  </si>
  <si>
    <t>Cap_n_pl &gt;= mult(Cap_n_pl_min, (1 - tol_cap_n_pl_min))</t>
  </si>
  <si>
    <t>Cap_op &gt;= mult(Cap_op_min, (1 - tol_cap_op_min))</t>
  </si>
  <si>
    <t>Cap_op &lt;= mult(Cap_op_max, (1 + tol_cap_op_max))</t>
  </si>
  <si>
    <t>Cap_n_pl &lt;= mult(Cap_n_pl_max, (1 + tol_cap_n_pl_max))</t>
  </si>
  <si>
    <t>Paper and paper products</t>
  </si>
  <si>
    <t>Rubber and plastic products</t>
  </si>
  <si>
    <t>Other non-metallic mineral products</t>
  </si>
  <si>
    <t>Batteries and accumulators</t>
  </si>
  <si>
    <t>Fuel cells</t>
  </si>
  <si>
    <t>Electrolyzers</t>
  </si>
  <si>
    <t>Furniture and other manufactured goods</t>
  </si>
  <si>
    <t>Air transport services</t>
  </si>
  <si>
    <t>Accommodation and food services</t>
  </si>
  <si>
    <t>Telecommunications services</t>
  </si>
  <si>
    <t>Scientific research and development services</t>
  </si>
  <si>
    <t>Education services</t>
  </si>
  <si>
    <t>Forestry and logging</t>
  </si>
  <si>
    <t>Manufacture of coke and refined petroleum products</t>
  </si>
  <si>
    <t>Construction</t>
  </si>
  <si>
    <t>Telecommunications</t>
  </si>
  <si>
    <t>Education</t>
  </si>
  <si>
    <t>technologies_group</t>
  </si>
  <si>
    <t>power</t>
  </si>
  <si>
    <t>heavy_transport</t>
  </si>
  <si>
    <t>constraints | maximum technology production mix - power technologies</t>
  </si>
  <si>
    <t>constraints | maximum technology production mix - heavy transport vehicles</t>
  </si>
  <si>
    <t>constraints | minimum technology production mix - power technologies</t>
  </si>
  <si>
    <t>constraints | minimum technology production mix - heavy transport vehicles</t>
  </si>
  <si>
    <t>activity by technology by year | power technologies</t>
  </si>
  <si>
    <t>activity by technology by year | heavy transport vehicles</t>
  </si>
  <si>
    <t>X_y_power</t>
  </si>
  <si>
    <t>X_y_ht</t>
  </si>
  <si>
    <t>dim: cols, filters: {type_physical: [intermediate], group: [power]}</t>
  </si>
  <si>
    <t>dim: cols, filters: {type_physical: [intermediate], group: [heavy_transport]}</t>
  </si>
  <si>
    <t>constraints | maximum technology production share - power technologies</t>
  </si>
  <si>
    <t>constraints | maximum technology production share - heavy transport vehicles</t>
  </si>
  <si>
    <t>share_max_power</t>
  </si>
  <si>
    <t>share_max_ht</t>
  </si>
  <si>
    <t>constraints | minimum technology production share - power technologies</t>
  </si>
  <si>
    <t>constraints | minimum technology production share - heavy transport vehicles</t>
  </si>
  <si>
    <t>share_min_power</t>
  </si>
  <si>
    <t>share_min_ht</t>
  </si>
  <si>
    <t>X_y_ht &lt;= mult(share_max_ht + tol_share_max_ht, sum(X_y_ht))</t>
  </si>
  <si>
    <t>X_y_ht &gt;= mult(share_min_ht - tol_share_min_ht, sum(X_y_ht))</t>
  </si>
  <si>
    <t>tolerance | maximum technology production share (absolute) - power technologies</t>
  </si>
  <si>
    <t>tolerance | maximum technology production share (absolute) - heavy transport vehicles</t>
  </si>
  <si>
    <t>tol_share_max_power</t>
  </si>
  <si>
    <t>tol_share_max_ht</t>
  </si>
  <si>
    <t>tolerance | minimum technology production share (absolute) - power technologies</t>
  </si>
  <si>
    <t>tolerance | minimum technology production share (absolute) - heavy transport vehicles</t>
  </si>
  <si>
    <t>tol_share_min_power</t>
  </si>
  <si>
    <t>tol_share_min_ht</t>
  </si>
  <si>
    <t>CUR_yh</t>
  </si>
  <si>
    <t>curtailment by year | hourly products</t>
  </si>
  <si>
    <t>curtailment | total curtailment of hourly products</t>
  </si>
  <si>
    <t>X_y_nst</t>
  </si>
  <si>
    <t>dim: cols, filters: {type_physical: [intermediate], type: [abs, conv, trans, conv_BEV,blender]}</t>
  </si>
  <si>
    <t>CUR_yh == mult(tran(i_h) @ CUR_h, 8760 / pl_h)</t>
  </si>
  <si>
    <t>tran(Q_h) - mult(diag(u_hy @ tran(X_yy) + E_h @ i_tf) @ tran(dp), pl_h / 8760) - u_hh @ tran(X_h) - tran(CUR_h) == 0</t>
  </si>
  <si>
    <t>sum vector - by power technologies</t>
  </si>
  <si>
    <t>C_fix_op_d == mult(C_fix_op, 1 / pow((1 + er_d_y),(pr_y_y-1)))</t>
  </si>
  <si>
    <t>Extraction of energy products</t>
  </si>
  <si>
    <t>Manufacture of grey hydrogen</t>
  </si>
  <si>
    <t>Manufacture of green hydrogen</t>
  </si>
  <si>
    <t>Manufacture of enriched uranium</t>
  </si>
  <si>
    <t>Manufacture of cement and concrete</t>
  </si>
  <si>
    <t>Electricity generation - fossil</t>
  </si>
  <si>
    <t>Electricity generation - renewables</t>
  </si>
  <si>
    <t>Electricity generation - others</t>
  </si>
  <si>
    <t>Electricity transmission</t>
  </si>
  <si>
    <t>Electricity distribution and trade</t>
  </si>
  <si>
    <t>Gas supply via pipelines</t>
  </si>
  <si>
    <t>Road freight transport</t>
  </si>
  <si>
    <t>Road passenger transport</t>
  </si>
  <si>
    <t>Blending - electricity</t>
  </si>
  <si>
    <t>Blending - hydrogen</t>
  </si>
  <si>
    <t>Blending - natural gas and hydrogen</t>
  </si>
  <si>
    <t>Storage - electricity, BEV batteries</t>
  </si>
  <si>
    <t>Storage - electricity stationary</t>
  </si>
  <si>
    <t>Storage - hydrogen stationary</t>
  </si>
  <si>
    <t>Storage - pumped hydro</t>
  </si>
  <si>
    <t>Provision of workspaces</t>
  </si>
  <si>
    <t>Provision of residential spaces</t>
  </si>
  <si>
    <t>Direct Air Capture</t>
  </si>
  <si>
    <t>Biological carbon sequestration</t>
  </si>
  <si>
    <t>Other Metallurgical Activities</t>
  </si>
  <si>
    <t>Other Activities n.e.c.</t>
  </si>
  <si>
    <t>Other Support Activities for Transport</t>
  </si>
  <si>
    <t>Public Administration and Defence; Compulsory Social Security</t>
  </si>
  <si>
    <t>Cultural, Sports and Entertainment Activities</t>
  </si>
  <si>
    <t>Health Services</t>
  </si>
  <si>
    <t>Extraction of Energy Products</t>
  </si>
  <si>
    <t>Extraction of Non-Energy Products</t>
  </si>
  <si>
    <t>Financial and Insurance Activities</t>
  </si>
  <si>
    <t>Real Estate Activities</t>
  </si>
  <si>
    <t>Blender - Electricity, Electricity - Other</t>
  </si>
  <si>
    <t>Blender - Electricity, Fossil Electricity</t>
  </si>
  <si>
    <t>Blender - Electricity, Renewable Electricity</t>
  </si>
  <si>
    <t>Blender - Hydrogen, Grey Hydrogen</t>
  </si>
  <si>
    <t>Blender - Hydrogen, Green Hydrogen</t>
  </si>
  <si>
    <t>Blender - Natural Gas and Hydrogen Mix, Natural Gas</t>
  </si>
  <si>
    <t>Blender - Natural Gas and Hydrogen Mix, Grey Hydrogen</t>
  </si>
  <si>
    <t>Blender - Natural Gas and Hydrogen Mix, Green Hydrogen</t>
  </si>
  <si>
    <t>Retail Trade, Except for Motor Vehicles and Motorcycles</t>
  </si>
  <si>
    <t>Wholesale and Retail Trade and Repair of Motor Vehicles and Motorcycles</t>
  </si>
  <si>
    <t>Wholesale Trade, Excluding Motor Vehicles and Motorcycles</t>
  </si>
  <si>
    <t>Electricity Distribution and Trading</t>
  </si>
  <si>
    <t>Manufacture of Other Chemical Products</t>
  </si>
  <si>
    <t>Manufacture of Other Electrical Equipment</t>
  </si>
  <si>
    <t>Manufacture of Other Transport Equipment</t>
  </si>
  <si>
    <t>Manufacture of Other Non-Metallic Mineral Products</t>
  </si>
  <si>
    <t>Manufacture of Electrical Equipment: Batteries and Accumulators</t>
  </si>
  <si>
    <t>Manufacture of Electrical Equipment: PV Panels</t>
  </si>
  <si>
    <t>Manufacture of Rubber and Plastics Products</t>
  </si>
  <si>
    <t>Manufacture of Battery Electric Vehicles (BEV)</t>
  </si>
  <si>
    <t>Manufacture of Fuel Cell Electric Vehicles (FCEV)</t>
  </si>
  <si>
    <t>Manufacture of Hybrid Electric Vehicles (HEV)</t>
  </si>
  <si>
    <t>Manufacture of Internal Combustion Engine Vehicles (ICE)</t>
  </si>
  <si>
    <t>Manufacture of Paper and Paper Products</t>
  </si>
  <si>
    <t>Manufacture of Cement and Concrete - Electrified</t>
  </si>
  <si>
    <t>Manufacture of Cement and Concrete - Fuels CCS</t>
  </si>
  <si>
    <t>Manufacture of Cement and Concrete - Traditional</t>
  </si>
  <si>
    <t>Manufacture of Coke and Refined Petroleum Products</t>
  </si>
  <si>
    <t>Manufacture of Computers, Electronics, and Optical Products</t>
  </si>
  <si>
    <t>Manufacture of Grey Hydrogen</t>
  </si>
  <si>
    <t>Manufacture of Green Hydrogen</t>
  </si>
  <si>
    <t>Manufacture of Machinery and Equipment n.e.c.</t>
  </si>
  <si>
    <t>Manufacture of Furniture; Other Manufacturing Industries</t>
  </si>
  <si>
    <t>Manufacture of Basic Pharmaceutical Products and Pharmaceutical Preparations</t>
  </si>
  <si>
    <t>Manufacture of Metal Products, Except for Machinery and Equipment</t>
  </si>
  <si>
    <t>Manufacture of Enriched Uranium</t>
  </si>
  <si>
    <t>Supply of High-Efficiency Energy Housing</t>
  </si>
  <si>
    <t>Supply of Standard Energy-Efficient Housing</t>
  </si>
  <si>
    <t>Supply of High-Efficiency Energy Workspaces</t>
  </si>
  <si>
    <t>Supply of Standard Energy-Efficient Workspaces</t>
  </si>
  <si>
    <t>Supply of Steam and Air Conditioning</t>
  </si>
  <si>
    <t>Gas Supply via Pipelines</t>
  </si>
  <si>
    <t>Electricity Generation: Biogas</t>
  </si>
  <si>
    <t>Electricity Generation: Biomass</t>
  </si>
  <si>
    <t>Electricity Generation: Coal</t>
  </si>
  <si>
    <t>Electricity Generation: Coal CCS</t>
  </si>
  <si>
    <t>Electricity Generation: Wind</t>
  </si>
  <si>
    <t>Electricity Generation: Natural Gas</t>
  </si>
  <si>
    <t>Electricity Generation: Natural Gas with CCS</t>
  </si>
  <si>
    <t>Electricity Generation: Geothermal</t>
  </si>
  <si>
    <t>Electricity Generation: Hydroelectric</t>
  </si>
  <si>
    <t>Electricity Generation: Nuclear</t>
  </si>
  <si>
    <t>Electricity Generation: Oil</t>
  </si>
  <si>
    <t>Electricity Generation: Solar PV</t>
  </si>
  <si>
    <t>Electricity Generation: Waste</t>
  </si>
  <si>
    <t>Sewerage, Waste Collection, Treatment and Disposal; Material Recovery; Environmental Remediation</t>
  </si>
  <si>
    <t>Wood and Cork Products Manufacturing, Excluding Furniture; Manufacture of Straw and Wicker Products</t>
  </si>
  <si>
    <t>Food, Beverage, and Tobacco Industries</t>
  </si>
  <si>
    <t>Textile, Apparel, and Leather Goods Industries</t>
  </si>
  <si>
    <t>Gross Fixed Capital Formation</t>
  </si>
  <si>
    <t>Fishing and Aquaculture</t>
  </si>
  <si>
    <t>Crop and Animal Production, Hunting, and Related Services</t>
  </si>
  <si>
    <t>Computer Programming, Consultancy, and Related Services</t>
  </si>
  <si>
    <t>Water Collection, Treatment, and Supply</t>
  </si>
  <si>
    <t>Scientific Research and Development</t>
  </si>
  <si>
    <t>Repair and Installation of Machinery and Equipment</t>
  </si>
  <si>
    <t>Biological Carbon Sequestration</t>
  </si>
  <si>
    <t>Accommodation Services; Food and Beverage Services</t>
  </si>
  <si>
    <t>Primary Steelmaking - Hydrogen</t>
  </si>
  <si>
    <t>Primary Steelmaking - Traditional</t>
  </si>
  <si>
    <t>Primary Steelmaking - Traditional with CCS</t>
  </si>
  <si>
    <t>Secondary Steelmaking</t>
  </si>
  <si>
    <t>Forestry and Logging</t>
  </si>
  <si>
    <t>Final Consumption Expenditure by Public Administration</t>
  </si>
  <si>
    <t>Final Consumption Expenditure by Households - Other</t>
  </si>
  <si>
    <t>Printing, Publishing, and Reproduction of Recorded Media</t>
  </si>
  <si>
    <t>Storage - BEV</t>
  </si>
  <si>
    <t>Storage - electricity BEV</t>
  </si>
  <si>
    <t>Electricity Transmission</t>
  </si>
  <si>
    <t>Maritime and Inland Waterway Transport</t>
  </si>
  <si>
    <t>Air Transport</t>
  </si>
  <si>
    <t>Rail Transport</t>
  </si>
  <si>
    <t>Road Freight Transport BEV</t>
  </si>
  <si>
    <t>Road Freight Transport FCEV</t>
  </si>
  <si>
    <t>Road Freight Transport HEV</t>
  </si>
  <si>
    <t>Road Freight Transport ICEV</t>
  </si>
  <si>
    <t>Transport via Pipelines</t>
  </si>
  <si>
    <t>Natural water; water treatment, production, and distribution services</t>
  </si>
  <si>
    <t>Other electrical equipment</t>
  </si>
  <si>
    <t>Other transport vehicles</t>
  </si>
  <si>
    <t>Other non-ferrous metal ores (cadmium, nickel, etc.)</t>
  </si>
  <si>
    <t>Other non-metallic minerals and mining services</t>
  </si>
  <si>
    <t>Other chemical products</t>
  </si>
  <si>
    <t>Other metallurgical products</t>
  </si>
  <si>
    <t>Other services n.e.c.</t>
  </si>
  <si>
    <t>Other transport support services</t>
  </si>
  <si>
    <t>Other technical services</t>
  </si>
  <si>
    <t>BEV vehicles</t>
  </si>
  <si>
    <t>FCEV vehicles</t>
  </si>
  <si>
    <t>HEV vehicles</t>
  </si>
  <si>
    <t>ICE vehicles</t>
  </si>
  <si>
    <t>Coal</t>
  </si>
  <si>
    <t>Cement and concrete</t>
  </si>
  <si>
    <t>Coke and refined petroleum products</t>
  </si>
  <si>
    <t>Gas distribution and trade via pipelines</t>
  </si>
  <si>
    <t>Electricity distribution</t>
  </si>
  <si>
    <t>Steam and air conditioning supply</t>
  </si>
  <si>
    <t>Electricity</t>
  </si>
  <si>
    <t>Electricity - other</t>
  </si>
  <si>
    <t>Electricity - fossil</t>
  </si>
  <si>
    <t>Electricity - BEV</t>
  </si>
  <si>
    <t>Natural gas</t>
  </si>
  <si>
    <t>Diesel</t>
  </si>
  <si>
    <t>Wind power generators</t>
  </si>
  <si>
    <t>Hydrogen</t>
  </si>
  <si>
    <t>Hydrogen - grey</t>
  </si>
  <si>
    <t>Hydrogen - green</t>
  </si>
  <si>
    <t>Construction and civil engineering</t>
  </si>
  <si>
    <t>Wood and cork products (excluding furniture); straw and wicker articles</t>
  </si>
  <si>
    <t>Other mechanical machinery and equipment</t>
  </si>
  <si>
    <t>Natural gas and hydrogen mix</t>
  </si>
  <si>
    <t>Photovoltaic panels</t>
  </si>
  <si>
    <t>Fish, aquaculture products, and fishing support services</t>
  </si>
  <si>
    <t>Crude oil</t>
  </si>
  <si>
    <t>Food, beverages, and tobacco products</t>
  </si>
  <si>
    <t>Agricultural and hunting products and services</t>
  </si>
  <si>
    <t>Forestry products, logging, and related services</t>
  </si>
  <si>
    <t>Basic pharmaceutical products and preparations</t>
  </si>
  <si>
    <t>Metal products (excluding machinery and equipment)</t>
  </si>
  <si>
    <t>IT, electronic, and optical products</t>
  </si>
  <si>
    <t>Steel products</t>
  </si>
  <si>
    <t>Textiles, clothing, leather, and related products</t>
  </si>
  <si>
    <t>IT programming, consulting, and information services</t>
  </si>
  <si>
    <t>Cultural, sports, and entertainment services</t>
  </si>
  <si>
    <t>Publishing, printing, and recording services</t>
  </si>
  <si>
    <t>Public administration, defense, and social security services</t>
  </si>
  <si>
    <t>Repair and installation services for machinery and equipment</t>
  </si>
  <si>
    <t>Wastewater treatment, sludge processing, waste collection, treatment, recovery, and decontamination services</t>
  </si>
  <si>
    <t>Rail transport services</t>
  </si>
  <si>
    <t>Maritime and inland water transport services</t>
  </si>
  <si>
    <t>Road freight transport services</t>
  </si>
  <si>
    <t>Road passenger transport services</t>
  </si>
  <si>
    <t>Wholesale and retail trade services</t>
  </si>
  <si>
    <t>Extraction services</t>
  </si>
  <si>
    <t>Financial and insurance services</t>
  </si>
  <si>
    <t>Real estate services</t>
  </si>
  <si>
    <t>Healthcare services</t>
  </si>
  <si>
    <t>Residential space</t>
  </si>
  <si>
    <t>Workspace</t>
  </si>
  <si>
    <t>Pipeline transport</t>
  </si>
  <si>
    <t>Uranium</t>
  </si>
  <si>
    <t>Enriched uranium</t>
  </si>
  <si>
    <t>Carbon dioxide</t>
  </si>
  <si>
    <t>Nitrogen oxides</t>
  </si>
  <si>
    <t>technologies_agg_IEA</t>
  </si>
  <si>
    <t>technologies_agg_1</t>
  </si>
  <si>
    <t>sectors_agg_1</t>
  </si>
  <si>
    <t>Energy industry</t>
  </si>
  <si>
    <t>Manufacture of hydrogen</t>
  </si>
  <si>
    <t>Steelmaking</t>
  </si>
  <si>
    <t>Electricity generation</t>
  </si>
  <si>
    <t>Electricity t&amp;d</t>
  </si>
  <si>
    <t>Blenders</t>
  </si>
  <si>
    <t>Storage systems</t>
  </si>
  <si>
    <t>Provision of spaces</t>
  </si>
  <si>
    <t>Other Service Activities</t>
  </si>
  <si>
    <t>Commercial and Public Services</t>
  </si>
  <si>
    <t>Transportation and Storage</t>
  </si>
  <si>
    <t>Transport</t>
  </si>
  <si>
    <t>Other non-specified</t>
  </si>
  <si>
    <t>Blender - electricity</t>
  </si>
  <si>
    <t>Blender - hydrogen</t>
  </si>
  <si>
    <t>Blender - natural gas and hydrogen</t>
  </si>
  <si>
    <t>Industry</t>
  </si>
  <si>
    <t>Agriculture, Forestry, and Fishing</t>
  </si>
  <si>
    <t>Agriculture/Forestry</t>
  </si>
  <si>
    <t>Transmission and distribution losses</t>
  </si>
  <si>
    <t>Electricity Generation</t>
  </si>
  <si>
    <t>Electricity plants</t>
  </si>
  <si>
    <t>Energy industry own use</t>
  </si>
  <si>
    <t>Mining and Quarrying</t>
  </si>
  <si>
    <t>Final demand - households</t>
  </si>
  <si>
    <t>Final demand - others</t>
  </si>
  <si>
    <t>Manufacturing</t>
  </si>
  <si>
    <t>Other transformation</t>
  </si>
  <si>
    <t>Natural gas t&amp;d</t>
  </si>
  <si>
    <t>Other final demand</t>
  </si>
  <si>
    <t>Cement and Concrete manufacturing</t>
  </si>
  <si>
    <t>Refineries</t>
  </si>
  <si>
    <t>Manufacturing of steel products</t>
  </si>
  <si>
    <t>Public Administration</t>
  </si>
  <si>
    <t>Wholesale and Retail Trade</t>
  </si>
  <si>
    <t>Waste Management</t>
  </si>
  <si>
    <t>Energy Storage</t>
  </si>
  <si>
    <t>Housing, workspace</t>
  </si>
  <si>
    <t>Residential</t>
  </si>
  <si>
    <t>products_agg_1</t>
  </si>
  <si>
    <t>products_agg_IEA</t>
  </si>
  <si>
    <t>Utilities</t>
  </si>
  <si>
    <t>Mining &amp; Quarrying</t>
  </si>
  <si>
    <t>Services</t>
  </si>
  <si>
    <t>Fossil energy products</t>
  </si>
  <si>
    <t>Agriculture, Forestry &amp; Fishing</t>
  </si>
  <si>
    <t>Biomass</t>
  </si>
  <si>
    <t>Transportation &amp; Storage</t>
  </si>
  <si>
    <t>Oil products</t>
  </si>
  <si>
    <t>Nuclear</t>
  </si>
  <si>
    <t>Gas products</t>
  </si>
  <si>
    <t>aggregations</t>
  </si>
  <si>
    <t>1, IEA</t>
  </si>
  <si>
    <t>cement</t>
  </si>
  <si>
    <t>constraints | maximum technology production share - cement</t>
  </si>
  <si>
    <t>share_max_cem</t>
  </si>
  <si>
    <t>share_max_stl</t>
  </si>
  <si>
    <t>dim: cols, filters: {type_physical: [intermediate], group: [cement]}</t>
  </si>
  <si>
    <t>constraints | minimum technology production share - cement</t>
  </si>
  <si>
    <t>share_min_cem</t>
  </si>
  <si>
    <t>share_min_stl</t>
  </si>
  <si>
    <t>X_y_cem &lt;= mult(share_max_cem + tol_share_max_cem, sum(X_y_cem))</t>
  </si>
  <si>
    <t>X_y_stl &lt;= mult(share_max_stl + tol_share_max_stl, sum(X_y_stl))</t>
  </si>
  <si>
    <t>constraints | maximum technology production mix - cement</t>
  </si>
  <si>
    <t>constraints | minimum technology production mix - cement</t>
  </si>
  <si>
    <t>X_y_cem &gt;= mult(share_min_cem - tol_share_min_cem, sum(X_y_cem))</t>
  </si>
  <si>
    <t>X_y_stl &gt;= mult(share_min_stl - tol_share_min_stl, sum(X_y_stl))</t>
  </si>
  <si>
    <t>activity by technology by year | cement</t>
  </si>
  <si>
    <t>X_y_cem</t>
  </si>
  <si>
    <t>X_y_stl</t>
  </si>
  <si>
    <t>tolerance | maximum technology production share (absolute) - cement</t>
  </si>
  <si>
    <t>tolerance | minimum technology production share (absolute) - cement</t>
  </si>
  <si>
    <t>tol_share_max_cem</t>
  </si>
  <si>
    <t>tol_share_max_stl</t>
  </si>
  <si>
    <t>tol_share_min_cem</t>
  </si>
  <si>
    <t>tol_share_min_stl</t>
  </si>
  <si>
    <t>constraints | maximum technology production mix - primary steel</t>
  </si>
  <si>
    <t>physical_emissions</t>
  </si>
  <si>
    <t>technologies_agg_group</t>
  </si>
  <si>
    <t>Bioenergy</t>
  </si>
  <si>
    <t>Wind</t>
  </si>
  <si>
    <t>Solar</t>
  </si>
  <si>
    <t>Other Fossil</t>
  </si>
  <si>
    <t>Natural Gas</t>
  </si>
  <si>
    <t>Hydro</t>
  </si>
  <si>
    <t>Geothermal</t>
  </si>
  <si>
    <t>Electrified</t>
  </si>
  <si>
    <t>Fuel CCS</t>
  </si>
  <si>
    <t>Traditional</t>
  </si>
  <si>
    <t>ICEV diesel</t>
  </si>
  <si>
    <t>DRI-EAF-H2</t>
  </si>
  <si>
    <t>BF-BOF</t>
  </si>
  <si>
    <t>FCEV</t>
  </si>
  <si>
    <t>HEV</t>
  </si>
  <si>
    <t>BF-BOF CCS</t>
  </si>
  <si>
    <t>ICEV gasoline</t>
  </si>
  <si>
    <t>av_y</t>
  </si>
  <si>
    <t>yearly availability | max (not defined for storage technologies)</t>
  </si>
  <si>
    <t>yearly availability | min (not defined for storage technologies)</t>
  </si>
  <si>
    <t>physical_data, technologies, hours</t>
  </si>
  <si>
    <t>dim: cols, filters: {type: [av_h_max]}</t>
  </si>
  <si>
    <t>dim: cols, filters: {type: [av_h_min]}</t>
  </si>
  <si>
    <t>dim: cols, filters: {type: [cap_to_act_h]}</t>
  </si>
  <si>
    <t>C_cap_power</t>
  </si>
  <si>
    <t>C_cap_ht</t>
  </si>
  <si>
    <t>C_cap_cem</t>
  </si>
  <si>
    <t>C_cap_stl</t>
  </si>
  <si>
    <t>constraints | maximum capex per year - cement</t>
  </si>
  <si>
    <t>constraints | maximum capex per year - primary steel</t>
  </si>
  <si>
    <t>capex_max_power</t>
  </si>
  <si>
    <t>capex_max_ht</t>
  </si>
  <si>
    <t>capex_max_cem</t>
  </si>
  <si>
    <t>capex_max_stl</t>
  </si>
  <si>
    <t>constraints | maximum capex per year - power technologies</t>
  </si>
  <si>
    <t>constraints | maximum capex per year - heavy transport</t>
  </si>
  <si>
    <t>Capex per year - power technologies | Maximum</t>
  </si>
  <si>
    <t>Capex per year - heavy transport | Maximum</t>
  </si>
  <si>
    <t>Capex per year - cement | Maximum</t>
  </si>
  <si>
    <t>Capex per year - primary steel | Maximum</t>
  </si>
  <si>
    <t>capex constraints |maximum capex per year - power technologies</t>
  </si>
  <si>
    <t>capex constraints | maximum capex per year - heavy transport vehicles</t>
  </si>
  <si>
    <t>capex constraints | maximum capex per year - cement</t>
  </si>
  <si>
    <t>years, constraints, scenarios</t>
  </si>
  <si>
    <t>dim: intra, filters: {type: [capex_max_power]}</t>
  </si>
  <si>
    <t>dim: intra, filters: {type: [capex_max_ht]}</t>
  </si>
  <si>
    <t>dim: intra, filters: {type: [capex_max_cem]}</t>
  </si>
  <si>
    <t>dim: intra, filters: {type: [capex_max_stl]}</t>
  </si>
  <si>
    <t>total costs | capital costs - heavy transport vehicles</t>
  </si>
  <si>
    <t>total costs | capital costs - cement</t>
  </si>
  <si>
    <t>total costs | capital costs - primary steel</t>
  </si>
  <si>
    <t xml:space="preserve">total costs | capital costs - power technologies </t>
  </si>
  <si>
    <t>dim: rows, filters: {type_physical: [intermediate], group: [heavy_transport]}</t>
  </si>
  <si>
    <t>dim: rows, filters: {type_physical: [intermediate], group: [cement]}</t>
  </si>
  <si>
    <t>dim: intra, filters: {type: [capex]}</t>
  </si>
  <si>
    <t>constraints_capex</t>
  </si>
  <si>
    <t>i_t_p</t>
  </si>
  <si>
    <t>i_t_ht</t>
  </si>
  <si>
    <t>i_t_cem</t>
  </si>
  <si>
    <t>i_t_stl</t>
  </si>
  <si>
    <t>sum vector - by heavy transport vehicles</t>
  </si>
  <si>
    <t>sum vector - by primary steel technologies</t>
  </si>
  <si>
    <t>sum vector - by cement technologies</t>
  </si>
  <si>
    <t>X_y_power &lt;= mult(share_max_power + tol_share_max_power, X_y_power @ tran(i_t_p))</t>
  </si>
  <si>
    <t>X_y_power &gt;= mult(share_min_power - tol_share_min_power, X_y_power @ tran(i_t_p))</t>
  </si>
  <si>
    <t>i_t_cem @ C_cap_cem &lt;= capex_max_cem</t>
  </si>
  <si>
    <t>i_t_stl @ C_cap_stl &lt;= capex_max_stl</t>
  </si>
  <si>
    <t>i_t_ht @ C_cap_ht &lt;= capex_max_ht</t>
  </si>
  <si>
    <t>technologies_group_2</t>
  </si>
  <si>
    <t>sum vector - by power and storage technologies</t>
  </si>
  <si>
    <t>i_t_ps</t>
  </si>
  <si>
    <t>total environmental transactions by product env | intermediate technologies</t>
  </si>
  <si>
    <t>total environmental transactions by product env | final technologies</t>
  </si>
  <si>
    <t>total environmental transactions by product env | final technologies - product env on rows</t>
  </si>
  <si>
    <t>products_env, years, scenarios</t>
  </si>
  <si>
    <t>R_vu_net_tot_all_tech</t>
  </si>
  <si>
    <t>R_ve_all_tech</t>
  </si>
  <si>
    <t>R_ve_all_tech_pe</t>
  </si>
  <si>
    <t>environmental transactions | total emissions by prod for intermediate technologies</t>
  </si>
  <si>
    <t>environmental transactions | total emissions by prod for final technologies</t>
  </si>
  <si>
    <t>constraints_emissions</t>
  </si>
  <si>
    <t>emissions constraints | maximum emissions by prod</t>
  </si>
  <si>
    <t>years_emissions</t>
  </si>
  <si>
    <t>time_scope: [historical, model], emissions: [True]</t>
  </si>
  <si>
    <t>dim: intra, filters: {emissions: [True]}</t>
  </si>
  <si>
    <t>emis_max</t>
  </si>
  <si>
    <t>products_env, constraints, scenarios</t>
  </si>
  <si>
    <t>dim: rows, filters: {type: [emissions by prod], emissions_category: [Greenhouse gases - CO2eq]}</t>
  </si>
  <si>
    <t>dim: intra, filters: {type: [emissions by prod], emissions_category: [Greenhouse gases - CO2eq]}</t>
  </si>
  <si>
    <t>CO2eq emissions | Maximum</t>
  </si>
  <si>
    <t>dim: cols, filters: {type: [emis_max]}</t>
  </si>
  <si>
    <t>total environmental transactions by product env | intermediate technologies - years on cols</t>
  </si>
  <si>
    <t>R_vu_net_tot_all_tech_y</t>
  </si>
  <si>
    <t>dim: cols, filters: {emissions: [True]}</t>
  </si>
  <si>
    <t>i_y_emis</t>
  </si>
  <si>
    <t>(R_vu_net_tot_all_tech_y + R_ve_all_tech_pe) @ i_y_emis &lt;= emis_max</t>
  </si>
  <si>
    <t>constraints | maximum CO2eq emissions for "emissions" years</t>
  </si>
  <si>
    <t>constraints_res</t>
  </si>
  <si>
    <t xml:space="preserve">res constraints | minimum share of renewables </t>
  </si>
  <si>
    <t>res_min</t>
  </si>
  <si>
    <t>activity by technology by year | power technologies - renewables</t>
  </si>
  <si>
    <t>X_y_power_res</t>
  </si>
  <si>
    <t>power_stor</t>
  </si>
  <si>
    <t>technologies_group_3</t>
  </si>
  <si>
    <t>power_res</t>
  </si>
  <si>
    <t>dim: rows, filters: {type_physical: [intermediate], group_2: [power_stor]}</t>
  </si>
  <si>
    <t>dim: cols, filters: {type_physical: [intermediate], group_2: [power_stor]}</t>
  </si>
  <si>
    <t>dim: cols, filters: {type_physical: [intermediate], group_3: [power_res]}</t>
  </si>
  <si>
    <t>sum vector - by intermediate technology (renewable technologies)</t>
  </si>
  <si>
    <t>i_ti_res</t>
  </si>
  <si>
    <t>dim: rows, filters: {type_physical: [intermediate], group_3: [power_res]}</t>
  </si>
  <si>
    <t>constraints | minimum share for renewable technologies</t>
  </si>
  <si>
    <t>X_y_power_res @ i_ti_res &gt;= mult(res_min, sum(X_y_power))</t>
  </si>
  <si>
    <t>dim: rows, filters: {type: [share_min_res]}</t>
  </si>
  <si>
    <t>share_min_res</t>
  </si>
  <si>
    <t>Technology production share | Power RES | Minimum</t>
  </si>
  <si>
    <t>total environmental transactions by technology | emiss by prod - intermediate tech - net | emissions years</t>
  </si>
  <si>
    <t>R_vu_net_tot_y</t>
  </si>
  <si>
    <t>R_vu_net_tot_all_tech == R_vu_net_tot_y @ i_ti</t>
  </si>
  <si>
    <t>R_ve_y</t>
  </si>
  <si>
    <t>R_ve_all_tech == i_p @ R_ve_y @ i_tf</t>
  </si>
  <si>
    <t>dim: rows, filters: {emissions: [True]}</t>
  </si>
  <si>
    <t>CONSTRAINTS</t>
  </si>
  <si>
    <t>i_t_ps @ C_cap_power &lt;= capex_max_power</t>
  </si>
  <si>
    <t>maximum capex per year</t>
  </si>
  <si>
    <t>maximum CO2eq emissions</t>
  </si>
  <si>
    <t>constraints on capacities</t>
  </si>
  <si>
    <t>constraints on technology production mix</t>
  </si>
  <si>
    <t>pd15</t>
  </si>
  <si>
    <t>fixed O&amp;M costs</t>
  </si>
  <si>
    <t>variable O&amp;M costs</t>
  </si>
  <si>
    <t>discounted fixed O&amp;M costs</t>
  </si>
  <si>
    <t>discounted variable O&amp;M costs</t>
  </si>
  <si>
    <t>c8</t>
  </si>
  <si>
    <t>c9</t>
  </si>
  <si>
    <t>disposal shape factor</t>
  </si>
  <si>
    <t>capacity-to-activity</t>
  </si>
  <si>
    <t>capacity-to-activity hourly</t>
  </si>
  <si>
    <t>Road Passenger Transport service, BEV</t>
  </si>
  <si>
    <t>Road Passenger Transport service, FCEV</t>
  </si>
  <si>
    <t>Road Passenger Transport service, HEV</t>
  </si>
  <si>
    <t>Road passenger transport households</t>
  </si>
  <si>
    <t>Road Passenger Transport households, BEV</t>
  </si>
  <si>
    <t>Road Passenger Transport households, FCEV</t>
  </si>
  <si>
    <t>Road Passenger Transport households, HEV</t>
  </si>
  <si>
    <t>Road Passenger Transport service, ICEV diesel</t>
  </si>
  <si>
    <t>Road Passenger Transport service, ICEV gasoline</t>
  </si>
  <si>
    <t>Road Passenger Transport households, ICEV diesel</t>
  </si>
  <si>
    <t>Road Passenger Transport households, ICEV gasoline</t>
  </si>
  <si>
    <t>pd16</t>
  </si>
  <si>
    <t>pd17</t>
  </si>
  <si>
    <t>discounted price of imports</t>
  </si>
  <si>
    <t>price of imports</t>
  </si>
  <si>
    <t>c10</t>
  </si>
  <si>
    <t>y_emiss</t>
  </si>
  <si>
    <t>by prod, CO2eq</t>
  </si>
  <si>
    <t>total environmental transactions by technology and product - emiss by prod | final tech | CO2eq in emissions years</t>
  </si>
  <si>
    <t>RR_tot_all_tech_u</t>
  </si>
  <si>
    <t>RR_tot_all_tech_e</t>
  </si>
  <si>
    <t>max new planned capacity</t>
  </si>
  <si>
    <t>max operative capacity</t>
  </si>
  <si>
    <t>min new planned capacity</t>
  </si>
  <si>
    <t>min operative capacity</t>
  </si>
  <si>
    <t>max tech share</t>
  </si>
  <si>
    <t>min tech share</t>
  </si>
  <si>
    <t>activity by technology by year | non-storage technologies</t>
  </si>
  <si>
    <t>0: physical</t>
  </si>
  <si>
    <t>1: physical_emissions</t>
  </si>
  <si>
    <t>total activity of final physical technologies (from economic model)</t>
  </si>
  <si>
    <t>total activity of final physical technologies (from economic model) | modelled years</t>
  </si>
  <si>
    <t>total product demand by hour</t>
  </si>
  <si>
    <t>total product demand by year</t>
  </si>
  <si>
    <t>total product demand by year | blend products</t>
  </si>
  <si>
    <t>total product demand by year | hourly products</t>
  </si>
  <si>
    <t>total product demand by year | yearly products</t>
  </si>
  <si>
    <t>activity by technology by year | primary steel</t>
  </si>
  <si>
    <t>constraints | minimum technology production mix - primary steel</t>
  </si>
  <si>
    <t>dim: rows, filters: {type_physical: [intermediate], group: [steel]}</t>
  </si>
  <si>
    <t>dim: cols, filters: {type_physical: [intermediate], group: [steel]}</t>
  </si>
  <si>
    <t>steel</t>
  </si>
  <si>
    <t>Road passenger transport service</t>
  </si>
  <si>
    <t>light_transport_hh</t>
  </si>
  <si>
    <t>light_transport_serv</t>
  </si>
  <si>
    <t>total costs | capital costs - light transport vehicles (households)</t>
  </si>
  <si>
    <t>total costs | capital costs - light transport vehicles (services)</t>
  </si>
  <si>
    <t>C_cap_lt_hh</t>
  </si>
  <si>
    <t>C_cap_lt_serv</t>
  </si>
  <si>
    <t>dim: rows, filters: {type_physical: [intermediate], group: [light_transport_hh]}</t>
  </si>
  <si>
    <t>dim: rows, filters: {type_physical: [intermediate], group: [light_transport_serv]}</t>
  </si>
  <si>
    <t>capex constraints | maximum capex per year - light transport vehicles (households)</t>
  </si>
  <si>
    <t>capex constraints | maximum capex per year - light transport vehicles (services)</t>
  </si>
  <si>
    <t>capex_max_lt_serv</t>
  </si>
  <si>
    <t>dim: intra, filters: {type: [capex_max_lt_hh]}</t>
  </si>
  <si>
    <t>dim: intra, filters: {type: [capex_max_lt_serv]}</t>
  </si>
  <si>
    <t>constraints | maximum capex per year - light transport (households)</t>
  </si>
  <si>
    <t>constraints | maximum capex per year - light transport (services)</t>
  </si>
  <si>
    <t>i_t_lt_hh @ C_cap_lt_hh &lt;= capex_max_lt_hh</t>
  </si>
  <si>
    <t>i_t_lt_serv @ C_cap_lt_serv &lt;= capex_max_lt_serv</t>
  </si>
  <si>
    <t>sum vector - by light transport vehicles (households)</t>
  </si>
  <si>
    <t>sum vector - by light transport vehicles (services)</t>
  </si>
  <si>
    <t>i_t_lt_hh</t>
  </si>
  <si>
    <t>i_t_lt_serv</t>
  </si>
  <si>
    <t>dim: cols, filters: {type_physical: [intermediate], group: [light_transport_hh]}</t>
  </si>
  <si>
    <t>dim: cols, filters: {type_physical: [intermediate], group: [light_transport_serv]}</t>
  </si>
  <si>
    <t>constraints | maximum technology production mix - light transport vehicles (households)</t>
  </si>
  <si>
    <t>constraints | maximum technology production mix - light transport vehicles (services)</t>
  </si>
  <si>
    <t>X_y_lt_hh &lt;= mult(share_max_lt_hh + tol_share_max_lt_hh, sum(X_y_lt_hh))</t>
  </si>
  <si>
    <t>X_y_lt_serv &lt;= mult(share_max_lt_serv + tol_share_max_lt_serv, sum(X_y_lt_serv))</t>
  </si>
  <si>
    <t>activity by technology by year | light transport vehicles (households)</t>
  </si>
  <si>
    <t>activity by technology by year | light transport vehicles (services)</t>
  </si>
  <si>
    <t>X_y_lt_hh</t>
  </si>
  <si>
    <t>X_y_lt_serv</t>
  </si>
  <si>
    <t>Electricity - renewables</t>
  </si>
  <si>
    <t>tolerance | maximum technology production share (absolute) - light transport vehicles (households)</t>
  </si>
  <si>
    <t>tolerance | maximum technology production share (absolute) - light transport vehicles (services)</t>
  </si>
  <si>
    <t>tol_share_max_lt_hh</t>
  </si>
  <si>
    <t>tol_share_max_lt_serv</t>
  </si>
  <si>
    <t>constraints | maximum technology production share - light transport vehicles (households)</t>
  </si>
  <si>
    <t>constraints | maximum technology production share - light transport vehicles (services)</t>
  </si>
  <si>
    <t>share_max_lt_hh</t>
  </si>
  <si>
    <t>share_max_lt_serv</t>
  </si>
  <si>
    <t>X_y_lt_hh &gt;= mult(share_min_lt_hh - tol_share_min_lt_hh, sum(X_y_lt_hh))</t>
  </si>
  <si>
    <t>X_y_lt_serv &gt;= mult(share_min_lt_serv - tol_share_min_lt_serv, sum(X_y_lt_serv))</t>
  </si>
  <si>
    <t>constraints | minimum technology production mix - light transport vehicles (households)</t>
  </si>
  <si>
    <t>constraints | minimum technology production mix - light transport vehicles (services)</t>
  </si>
  <si>
    <t>constraints | minimum technology production share - light transport vehicles (households)</t>
  </si>
  <si>
    <t>constraints | minimum technology production share - light transport vehicles (services)</t>
  </si>
  <si>
    <t>share_min_lt_hh</t>
  </si>
  <si>
    <t>share_min_lt_serv</t>
  </si>
  <si>
    <t>tolerance | minimum technology production share (absolute) - light transport vehicles (households)</t>
  </si>
  <si>
    <t>tolerance | minimum technology production share (absolute) - light transport vehicles (services)</t>
  </si>
  <si>
    <t>tol_share_min_lt_hh</t>
  </si>
  <si>
    <t>tol_share_min_lt_serv</t>
  </si>
  <si>
    <t>capex_max_lt_hh</t>
  </si>
  <si>
    <t>Capex per year - light transport (households) | Maximum</t>
  </si>
  <si>
    <t>Capex per year - light transport (services) | Maximum</t>
  </si>
  <si>
    <t>EAF-scrap</t>
  </si>
  <si>
    <t>tolerance | maximum technology production share (absolute) - steel</t>
  </si>
  <si>
    <t>tolerance | minimum technology production share (absolute) - steel</t>
  </si>
  <si>
    <t>constraints | maximum technology production share - steel</t>
  </si>
  <si>
    <t>constraints | minimum technology production share - steel</t>
  </si>
  <si>
    <t>capex constraints | maximum capex per year - steel</t>
  </si>
  <si>
    <t>nonneg</t>
  </si>
  <si>
    <t>non-negativity constraints</t>
  </si>
  <si>
    <t>CUR_y &gt;= 0</t>
  </si>
  <si>
    <t>X_h_nst &gt;= 0</t>
  </si>
  <si>
    <t>Stationary</t>
  </si>
  <si>
    <t>Pumped-hydro</t>
  </si>
  <si>
    <t>Standard</t>
  </si>
  <si>
    <t>High-efficiency</t>
  </si>
  <si>
    <t>cool-down</t>
  </si>
  <si>
    <t>technologies_agg_sector</t>
  </si>
  <si>
    <t>Other transport</t>
  </si>
  <si>
    <t>Other services</t>
  </si>
  <si>
    <t>Agriculture</t>
  </si>
  <si>
    <t>Other manufacturing</t>
  </si>
  <si>
    <t>Households</t>
  </si>
  <si>
    <t>scope_agg</t>
  </si>
  <si>
    <t>years_agg_scope_agg</t>
  </si>
  <si>
    <t>hydrogen</t>
  </si>
  <si>
    <t>hydrogen_stor</t>
  </si>
  <si>
    <t>Gasoline</t>
  </si>
  <si>
    <t>vt</t>
  </si>
  <si>
    <t>make coefficients by technology - physical | non by-products and non-transmission tech</t>
  </si>
  <si>
    <t>technologies, products, years, scenarios</t>
  </si>
  <si>
    <t>vt_nbp</t>
  </si>
  <si>
    <t>dim: cols, filters: {scope: [physical, both], by_prod: [False]}</t>
  </si>
  <si>
    <t>dim: rows, filters: {type_physical: [intermediate], type: [abs, blender, conv, conv_BEV, stor, stor_plus]}</t>
  </si>
  <si>
    <t>make coefficients by technology - physical | by-products and non-transmission tech</t>
  </si>
  <si>
    <t>vt_bp</t>
  </si>
  <si>
    <t>dim: cols, filters: {scope: [physical, both], by_prod: [True]}</t>
  </si>
  <si>
    <t>make coefficients by technology - physical | all products and transmission tech</t>
  </si>
  <si>
    <t>vt_trans</t>
  </si>
  <si>
    <t>dim: rows, filters: {type_physical: [intermediate], type: [trans]}</t>
  </si>
  <si>
    <r>
      <t xml:space="preserve">scope: [physical, economic, both], time_resolution: [hourly, yearly], type: [blend_in, blend_out, non-blend], eco_unit: [MEUR], phy_unit: [Mm2, Mton, MVkm, MVkm-ton, TWh], </t>
    </r>
    <r>
      <rPr>
        <sz val="11"/>
        <color rgb="FFFF0000"/>
        <rFont val="Calibri"/>
        <family val="2"/>
        <scheme val="minor"/>
      </rPr>
      <t>by_prod: [True, False]</t>
    </r>
  </si>
  <si>
    <r>
      <t xml:space="preserve">type_physical: [intermediate, final], type_economic: [intermediate, final], time_resolution: [hourly, yearly], region: [domestic, row], type: [blender, conv, conv_BEV, trans, stor, stor_plus, abs], capacity: [True], eco_unit: [MEUR], 
phy_unit: [Mm2, Mton, MVkm, MVkm-ton, TWh, MtonCO2_avoided], phy_capacity_unit: [TW, TWh, Mm2, Mvehicles, MtonCO2_avoided], group: [power, heavy_transport, </t>
    </r>
    <r>
      <rPr>
        <sz val="11"/>
        <color theme="1"/>
        <rFont val="Calibri"/>
        <family val="2"/>
        <scheme val="minor"/>
      </rPr>
      <t>light_transport_hh, light_transport_serv, cement, steel, power_stor, hydrogen, hydrogen_stor], group_2: [power_stor], group_3: [power_res]</t>
    </r>
  </si>
  <si>
    <r>
      <t xml:space="preserve">type: [cap_op_max, cap_op_min, cap_pl_max, cap_pl_min, share_max, share_min, capex_max_power, </t>
    </r>
    <r>
      <rPr>
        <sz val="11"/>
        <color theme="1"/>
        <rFont val="Calibri"/>
        <family val="2"/>
        <scheme val="minor"/>
      </rPr>
      <t>capex_max_lt_hh, capex_max_lt_serv, capex_max_ht, capex_max_cem, capex_max_stl, emis_max, share_min_res]</t>
    </r>
  </si>
  <si>
    <t>products_by_prod</t>
  </si>
  <si>
    <t>False</t>
  </si>
  <si>
    <t>mult(vt_bp, mult(Q_y_bp, 1 - m_bp)) == tran(mult(diag(Q_y_bp), 1 - m_bp) @ (tran(v_bp) @ I_ntrans))</t>
  </si>
  <si>
    <t>make coefficients matrix by technology | by-products and non-transmission technologies</t>
  </si>
  <si>
    <t>mult(vt_nbp, mult(Q_y_nbp, 1 - m_nbp)) == mult(tran(I_ntrans) @ v_nbp, tran(X_y_ntrans))</t>
  </si>
  <si>
    <t>make coefficients matrix by technology | non-by-products and non-transmission technologies</t>
  </si>
  <si>
    <t>mult(vt_trans, mult(Q_y, 1 - m)) == tran(mult(diag(Q_y), 1 - m) @ (tran(v_trans) @ I_trans))</t>
  </si>
  <si>
    <t>make coefficients matrix by technology | transmission technologies</t>
  </si>
  <si>
    <t>m_bp</t>
  </si>
  <si>
    <t>imports by products coefficients - physical | by-products</t>
  </si>
  <si>
    <t>total product demand by year | by-products</t>
  </si>
  <si>
    <t>Q_y_bp</t>
  </si>
  <si>
    <t>sector by technology identity | non-transmission tech and sectors</t>
  </si>
  <si>
    <t>I_ntrans</t>
  </si>
  <si>
    <t>dim: rows, filters: {region: [domestic], type: [other, blender]}</t>
  </si>
  <si>
    <t>dim: cols, filters: {type_physical: [intermediate], type: [abs, blender, conv, conv_BEV, stor, stor_plus]}</t>
  </si>
  <si>
    <t>other</t>
  </si>
  <si>
    <r>
      <t>time_resolution: [hourly, yearly], region: [domestic, row], type: [blender</t>
    </r>
    <r>
      <rPr>
        <sz val="11"/>
        <color rgb="FFFF0000"/>
        <rFont val="Calibri"/>
        <family val="2"/>
        <scheme val="minor"/>
      </rPr>
      <t>, trans, other</t>
    </r>
    <r>
      <rPr>
        <sz val="11"/>
        <color theme="1"/>
        <rFont val="Calibri"/>
        <family val="2"/>
        <scheme val="minor"/>
      </rPr>
      <t>]</t>
    </r>
  </si>
  <si>
    <t>total product demand by year | non by-products</t>
  </si>
  <si>
    <t>Q_y_nbp</t>
  </si>
  <si>
    <t>m_nbp</t>
  </si>
  <si>
    <t>imports by products coefficients - physical | non-by-products</t>
  </si>
  <si>
    <t>activity by technology by year | non-transmission technologies</t>
  </si>
  <si>
    <t>X_y_ntrans</t>
  </si>
  <si>
    <t>sector by technology identity | transmission tech and sectors</t>
  </si>
  <si>
    <t>I_trans</t>
  </si>
  <si>
    <t>dim: rows, filters: {region: [domestic], type: [trans]}</t>
  </si>
  <si>
    <t>dim: cols, filters: {type_physical: [intermediate], type: [trans]}</t>
  </si>
  <si>
    <t>c_v</t>
  </si>
  <si>
    <t>dim: intra, filters: {type: [fuels]}</t>
  </si>
  <si>
    <t>Cost of fuels</t>
  </si>
  <si>
    <t>fuels</t>
  </si>
  <si>
    <t>c_vu</t>
  </si>
  <si>
    <t>CC_vue</t>
  </si>
  <si>
    <t>total costs of products by technology and product | intermediate technologies</t>
  </si>
  <si>
    <t>total costs of products by technology and product | final technologies</t>
  </si>
  <si>
    <t>technologies, products, years, costs, scenarios</t>
  </si>
  <si>
    <t>C_vu</t>
  </si>
  <si>
    <t>C_ve</t>
  </si>
  <si>
    <t>p_prod</t>
  </si>
  <si>
    <t>products, years, costs, scenarios</t>
  </si>
  <si>
    <t>dim: rows, filters: {type: [fuels]}</t>
  </si>
  <si>
    <t>dim: rows, filters: {type: [fuels_dis]}</t>
  </si>
  <si>
    <t>Discounted cost of fuels</t>
  </si>
  <si>
    <t>fuels_dis</t>
  </si>
  <si>
    <t>cost coefficients of fuels</t>
  </si>
  <si>
    <t>cost coefficients of fuels and environmental transactions by technology | fuels</t>
  </si>
  <si>
    <t>cost coefficients of fuels and environmental transactions by technology | env transactions</t>
  </si>
  <si>
    <t>c_vu_r</t>
  </si>
  <si>
    <t>c_r_tot</t>
  </si>
  <si>
    <t>p_prod_var_op</t>
  </si>
  <si>
    <t>price of products | variable O&amp;M costs</t>
  </si>
  <si>
    <r>
      <t>type: [capex, env_transactions, capex_dis, env_transactions_dis, vopex, vopex_dis, fopex, fopex_dis, imports, imports_dis</t>
    </r>
    <r>
      <rPr>
        <sz val="11"/>
        <color rgb="FFFF0000"/>
        <rFont val="Calibri"/>
        <family val="2"/>
        <scheme val="minor"/>
      </rPr>
      <t>, fuels, fuels_dis</t>
    </r>
    <r>
      <rPr>
        <sz val="11"/>
        <color theme="1"/>
        <rFont val="Calibri"/>
        <family val="2"/>
        <scheme val="minor"/>
      </rPr>
      <t>], cost_unit: [MEUR]</t>
    </r>
  </si>
  <si>
    <t>Green H2</t>
  </si>
  <si>
    <t>Grey H2</t>
  </si>
  <si>
    <t>Storage</t>
  </si>
  <si>
    <t>economic balances | cost of fuels (domestic and imported) consumed by technology</t>
  </si>
  <si>
    <t>i_s_dom</t>
  </si>
  <si>
    <t>sum vector - by sector domestic</t>
  </si>
  <si>
    <t>technologies_agg_sector_2</t>
  </si>
  <si>
    <t>dim: cols, filters: {region: [domestic]}</t>
  </si>
  <si>
    <t>Power</t>
  </si>
  <si>
    <t>Cement</t>
  </si>
  <si>
    <t>Steel</t>
  </si>
  <si>
    <t>Freight transport</t>
  </si>
  <si>
    <t>Passenger transport household</t>
  </si>
  <si>
    <t>Passenger transport service</t>
  </si>
  <si>
    <t>Working space</t>
  </si>
  <si>
    <t>1, IEA, group, sector, sector_2</t>
  </si>
  <si>
    <t>i_pe_prod</t>
  </si>
  <si>
    <t>i_pe_tech</t>
  </si>
  <si>
    <t>sum vector - by product env (emissions by prod)</t>
  </si>
  <si>
    <t>sum vector - by product env (emissions by tech)</t>
  </si>
  <si>
    <t>dim: cols, filters: {type: [emissions by prod]}</t>
  </si>
  <si>
    <t>dim: cols, filters: {type: [emissions by tech]}</t>
  </si>
  <si>
    <t>c_r_tot == i_pe_prod @ c_rv + i_pe_tech @ c_ru</t>
  </si>
  <si>
    <t>economic balances | total cost of environmental transactions (by prod and by tech)</t>
  </si>
  <si>
    <t>cost coefficients of fuels and environmental transactions by technology | env transactions with costs on rows</t>
  </si>
  <si>
    <t>c_r_tot_c</t>
  </si>
  <si>
    <t>make coefficients matrix by technology including imports</t>
  </si>
  <si>
    <t xml:space="preserve">make coefficients by technology including imports - physical </t>
  </si>
  <si>
    <t>vtm</t>
  </si>
  <si>
    <t>make coefficients by technology - physical</t>
  </si>
  <si>
    <t>p_prod_vu</t>
  </si>
  <si>
    <t xml:space="preserve">price of products | fuels </t>
  </si>
  <si>
    <t>p_prod_r</t>
  </si>
  <si>
    <t xml:space="preserve">price of products | environmental transactions </t>
  </si>
  <si>
    <t>economic balances | prices embedded in products - environmental transactions</t>
  </si>
  <si>
    <t>economic balances | prices embedded in products - fuels</t>
  </si>
  <si>
    <t>economic balances | prices embedded in products - variable O&amp;M costs</t>
  </si>
  <si>
    <t>p_tech_vu</t>
  </si>
  <si>
    <t>price per technology connected to fuels consumption</t>
  </si>
  <si>
    <t>economic balances | prices per technology - fuels</t>
  </si>
  <si>
    <t>economic balances | total costs for fuels by product and technology - intermediate technologies</t>
  </si>
  <si>
    <t>economic balances | total costs for fuels by product and technology - final technologies</t>
  </si>
  <si>
    <t xml:space="preserve">total costs of products by technology and product </t>
  </si>
  <si>
    <t>C_vue</t>
  </si>
  <si>
    <t>dim: cols, filters: {type_physical: [intermediate, final]}</t>
  </si>
  <si>
    <t>total costs | fuels costs per intermediate and technologies</t>
  </si>
  <si>
    <t>total costs | fuels costs per intermediate and technologies - costs on rows</t>
  </si>
  <si>
    <t>total costs | fuels costs per intermediate and technologies - costs on rows - discounted</t>
  </si>
  <si>
    <t>C_vue_tot</t>
  </si>
  <si>
    <t>C_vue_tot_c</t>
  </si>
  <si>
    <t>C_vue_tot_d</t>
  </si>
  <si>
    <t>C_vue_tot == i_p @ C_vue</t>
  </si>
  <si>
    <t>economic balances | total costs for fuels by technology - all technologies</t>
  </si>
  <si>
    <t>i_t</t>
  </si>
  <si>
    <t>C_vue_tot_d == mult(C_vue_tot_c, 1 / pow((1 + er_d), (pr_y - 1)))</t>
  </si>
  <si>
    <t>sum vector - by costs | discounted fuels costs</t>
  </si>
  <si>
    <t>i_c_vue</t>
  </si>
  <si>
    <t>dim: cols, filters: {type: [fuels_dis]}</t>
  </si>
  <si>
    <t>C_tot == i_ti_cap @ C_cap_d_t @ i_c_cap + tran(i_ti) @ C_r_d_tot_t @ i_c_env + i_c_var_op @ C_var_op_d @ i_ti + i_ti_cap @ C_fix_op_d_t @ i_c_fix_op + i_c_vue @ C_vue_tot_d</t>
  </si>
  <si>
    <t>economic balances | sum of capital costs, costs of environmental transactions, variable O&amp;M costs, fixed O&amp;M costs and fuels costs</t>
  </si>
  <si>
    <t>make coefficients - physical | non by-products</t>
  </si>
  <si>
    <t>v_nbp</t>
  </si>
  <si>
    <t>make coefficients - physical | by-products</t>
  </si>
  <si>
    <t>v_bp</t>
  </si>
  <si>
    <t>make coefficients - physical | transmission sectors</t>
  </si>
  <si>
    <t>v_trans</t>
  </si>
  <si>
    <t>price coefficients of imports by sector</t>
  </si>
  <si>
    <t>p_m_tot</t>
  </si>
  <si>
    <t>price coefficients of imports for all row sectors | costs as intra-set</t>
  </si>
  <si>
    <t>price coefficients of imports for all row sectors | costs as row</t>
  </si>
  <si>
    <t>dim: rows, filters: {type: [imports]}</t>
  </si>
  <si>
    <t>p_m_tot == i_s @ p_m</t>
  </si>
  <si>
    <t>price of imports for all row sectors</t>
  </si>
  <si>
    <t>p_m_tot_c</t>
  </si>
  <si>
    <t>c_vu == (mult(c_v, i_s_dom @ v) + mult(p_m_tot_c, m)) @ u</t>
  </si>
  <si>
    <t>cost coefficients of fuels | costs as intra-set</t>
  </si>
  <si>
    <t>c_v_c</t>
  </si>
  <si>
    <t>sum vector - by costs | imports costs</t>
  </si>
  <si>
    <t>i_c_m</t>
  </si>
  <si>
    <t>dim: cols, filters: {type: [imports]}</t>
  </si>
  <si>
    <t>price of imports for all row sectors - no costs set</t>
  </si>
  <si>
    <t>p_m_tot_cc == i_c_m @ p_m_tot_c</t>
  </si>
  <si>
    <t>p_m_tot_cc</t>
  </si>
  <si>
    <t>price coefficients of imports for all row sectors | no costs set</t>
  </si>
  <si>
    <t>mult(tran(i_ti) @ vt, vtm) == vt</t>
  </si>
  <si>
    <t>C_ve == mult(tran(mult(c_v_c, i_s_dom @ v) + mult(m, p_m_tot_cc)), E_tot)</t>
  </si>
  <si>
    <t>physical: endogenous, physical_emissions: exogenous</t>
  </si>
  <si>
    <t>physical: exogenous, physical_emissions: endogenous,</t>
  </si>
  <si>
    <t>physical: exogenous, physical_emissions: endogenous</t>
  </si>
  <si>
    <t>x</t>
  </si>
  <si>
    <t>C_tot == i_ti_cap @ C_cap_d_t @ i_c_cap + tran(i_ti) @ C_r_d_tot_t @ i_c_env + i_c_var_op @ C_var_op_d @ i_ti + i_ti_cap @ C_fix_op_d_t @ i_c_fix_op</t>
  </si>
  <si>
    <t>p_prod_vu - ((mult(c_v, i_s_dom @ v) + mult(p_m_tot_c, m)) @ u) @ vtm @ minv(diag(i_p) - u @ vtm) + mult(m, p_m_tot_c) + mult(c_v, i_s_dom @ v) == 0</t>
  </si>
  <si>
    <t>p_prod_r == c_r_tot_c @ vtm @ minv(diag(i_p) - u @ vtm)</t>
  </si>
  <si>
    <t>p_prod_var_op == c_var_op @ vtm @ minv(diag(i_p) - u @ vtm)</t>
  </si>
  <si>
    <t>p_tech_vu - ((mult(c_v, i_s_dom @ v) + mult(p_m_tot_c, m)) @ u) @ (diag(i_ti) - vtm @ u) == 0</t>
  </si>
  <si>
    <t>C_vu == mult(tran(mult(c_v_c, i_s_dom @ v) + mult(m, p_m_tot_cc)), 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</si>
</sst>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;\-0;\-"/>
    <numFmt numFmtId="165" formatCode="[$-F400]h:mm:ss\ AM/PM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theme="4"/>
      </patternFill>
    </fill>
  </fills>
  <borders count="4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dotted">
        <color auto="1"/>
      </top>
      <bottom/>
      <diagonal/>
    </border>
    <border>
      <left/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7">
    <xf numFmtId="0" fontId="0" fillId="0" borderId="0" xfId="0"/>
    <xf numFmtId="164" fontId="1" fillId="0" borderId="0" xfId="0" applyNumberFormat="1" applyFont="1"/>
    <xf numFmtId="164" fontId="2" fillId="0" borderId="0" xfId="0" applyNumberFormat="1" applyFont="1"/>
    <xf numFmtId="164" fontId="1" fillId="2" borderId="0" xfId="0" applyNumberFormat="1" applyFont="1" applyFill="1"/>
    <xf numFmtId="164" fontId="1" fillId="3" borderId="0" xfId="0" applyNumberFormat="1" applyFont="1" applyFill="1"/>
    <xf numFmtId="164" fontId="1" fillId="0" borderId="1" xfId="0" applyNumberFormat="1" applyFont="1" applyBorder="1"/>
    <xf numFmtId="164" fontId="1" fillId="2" borderId="4" xfId="0" applyNumberFormat="1" applyFont="1" applyFill="1" applyBorder="1"/>
    <xf numFmtId="164" fontId="1" fillId="2" borderId="1" xfId="0" applyNumberFormat="1" applyFont="1" applyFill="1" applyBorder="1"/>
    <xf numFmtId="164" fontId="1" fillId="2" borderId="7" xfId="0" applyNumberFormat="1" applyFont="1" applyFill="1" applyBorder="1"/>
    <xf numFmtId="164" fontId="1" fillId="2" borderId="8" xfId="0" applyNumberFormat="1" applyFont="1" applyFill="1" applyBorder="1"/>
    <xf numFmtId="164" fontId="1" fillId="2" borderId="5" xfId="0" applyNumberFormat="1" applyFont="1" applyFill="1" applyBorder="1"/>
    <xf numFmtId="164" fontId="1" fillId="2" borderId="6" xfId="0" applyNumberFormat="1" applyFont="1" applyFill="1" applyBorder="1"/>
    <xf numFmtId="164" fontId="1" fillId="2" borderId="10" xfId="0" applyNumberFormat="1" applyFont="1" applyFill="1" applyBorder="1"/>
    <xf numFmtId="164" fontId="1" fillId="2" borderId="9" xfId="0" applyNumberFormat="1" applyFont="1" applyFill="1" applyBorder="1"/>
    <xf numFmtId="164" fontId="1" fillId="3" borderId="4" xfId="0" applyNumberFormat="1" applyFont="1" applyFill="1" applyBorder="1"/>
    <xf numFmtId="164" fontId="1" fillId="3" borderId="5" xfId="0" applyNumberFormat="1" applyFont="1" applyFill="1" applyBorder="1"/>
    <xf numFmtId="164" fontId="1" fillId="3" borderId="7" xfId="0" applyNumberFormat="1" applyFont="1" applyFill="1" applyBorder="1"/>
    <xf numFmtId="164" fontId="1" fillId="3" borderId="6" xfId="0" applyNumberFormat="1" applyFont="1" applyFill="1" applyBorder="1"/>
    <xf numFmtId="164" fontId="1" fillId="3" borderId="10" xfId="0" applyNumberFormat="1" applyFont="1" applyFill="1" applyBorder="1"/>
    <xf numFmtId="164" fontId="1" fillId="3" borderId="9" xfId="0" applyNumberFormat="1" applyFont="1" applyFill="1" applyBorder="1"/>
    <xf numFmtId="164" fontId="1" fillId="2" borderId="14" xfId="0" applyNumberFormat="1" applyFont="1" applyFill="1" applyBorder="1"/>
    <xf numFmtId="164" fontId="1" fillId="2" borderId="15" xfId="0" applyNumberFormat="1" applyFont="1" applyFill="1" applyBorder="1"/>
    <xf numFmtId="164" fontId="1" fillId="2" borderId="16" xfId="0" applyNumberFormat="1" applyFont="1" applyFill="1" applyBorder="1"/>
    <xf numFmtId="164" fontId="1" fillId="0" borderId="5" xfId="0" applyNumberFormat="1" applyFont="1" applyBorder="1"/>
    <xf numFmtId="164" fontId="1" fillId="0" borderId="6" xfId="0" applyNumberFormat="1" applyFont="1" applyBorder="1"/>
    <xf numFmtId="164" fontId="1" fillId="0" borderId="7" xfId="0" applyNumberFormat="1" applyFont="1" applyBorder="1"/>
    <xf numFmtId="164" fontId="1" fillId="0" borderId="10" xfId="0" applyNumberFormat="1" applyFont="1" applyBorder="1"/>
    <xf numFmtId="164" fontId="1" fillId="0" borderId="8" xfId="0" applyNumberFormat="1" applyFont="1" applyBorder="1"/>
    <xf numFmtId="0" fontId="0" fillId="0" borderId="0" xfId="0" applyAlignment="1">
      <alignment horizontal="left"/>
    </xf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49" fontId="4" fillId="0" borderId="0" xfId="0" applyNumberFormat="1" applyFont="1"/>
    <xf numFmtId="49" fontId="0" fillId="0" borderId="0" xfId="0" applyNumberFormat="1" applyAlignment="1">
      <alignment horizontal="left"/>
    </xf>
    <xf numFmtId="49" fontId="4" fillId="0" borderId="0" xfId="0" applyNumberFormat="1" applyFont="1" applyAlignment="1">
      <alignment horizontal="left"/>
    </xf>
    <xf numFmtId="164" fontId="6" fillId="0" borderId="0" xfId="0" applyNumberFormat="1" applyFont="1"/>
    <xf numFmtId="164" fontId="1" fillId="0" borderId="0" xfId="0" quotePrefix="1" applyNumberFormat="1" applyFont="1"/>
    <xf numFmtId="164" fontId="1" fillId="0" borderId="0" xfId="0" applyNumberFormat="1" applyFont="1" applyAlignment="1">
      <alignment textRotation="90" wrapText="1"/>
    </xf>
    <xf numFmtId="164" fontId="1" fillId="2" borderId="18" xfId="0" applyNumberFormat="1" applyFont="1" applyFill="1" applyBorder="1"/>
    <xf numFmtId="164" fontId="1" fillId="2" borderId="2" xfId="0" applyNumberFormat="1" applyFont="1" applyFill="1" applyBorder="1"/>
    <xf numFmtId="164" fontId="1" fillId="2" borderId="3" xfId="0" applyNumberFormat="1" applyFont="1" applyFill="1" applyBorder="1"/>
    <xf numFmtId="164" fontId="1" fillId="2" borderId="11" xfId="0" applyNumberFormat="1" applyFont="1" applyFill="1" applyBorder="1"/>
    <xf numFmtId="164" fontId="1" fillId="2" borderId="12" xfId="0" applyNumberFormat="1" applyFont="1" applyFill="1" applyBorder="1"/>
    <xf numFmtId="164" fontId="1" fillId="2" borderId="13" xfId="0" applyNumberFormat="1" applyFont="1" applyFill="1" applyBorder="1"/>
    <xf numFmtId="164" fontId="1" fillId="2" borderId="20" xfId="0" applyNumberFormat="1" applyFont="1" applyFill="1" applyBorder="1"/>
    <xf numFmtId="164" fontId="1" fillId="2" borderId="19" xfId="0" applyNumberFormat="1" applyFont="1" applyFill="1" applyBorder="1"/>
    <xf numFmtId="164" fontId="2" fillId="0" borderId="0" xfId="0" quotePrefix="1" applyNumberFormat="1" applyFont="1"/>
    <xf numFmtId="164" fontId="1" fillId="0" borderId="0" xfId="0" applyNumberFormat="1" applyFont="1" applyAlignment="1">
      <alignment horizontal="left"/>
    </xf>
    <xf numFmtId="164" fontId="1" fillId="3" borderId="18" xfId="0" applyNumberFormat="1" applyFont="1" applyFill="1" applyBorder="1"/>
    <xf numFmtId="164" fontId="1" fillId="3" borderId="3" xfId="0" applyNumberFormat="1" applyFont="1" applyFill="1" applyBorder="1"/>
    <xf numFmtId="164" fontId="1" fillId="3" borderId="1" xfId="0" applyNumberFormat="1" applyFont="1" applyFill="1" applyBorder="1"/>
    <xf numFmtId="164" fontId="1" fillId="3" borderId="2" xfId="0" applyNumberFormat="1" applyFont="1" applyFill="1" applyBorder="1"/>
    <xf numFmtId="164" fontId="1" fillId="3" borderId="8" xfId="0" applyNumberFormat="1" applyFont="1" applyFill="1" applyBorder="1"/>
    <xf numFmtId="164" fontId="7" fillId="0" borderId="0" xfId="0" applyNumberFormat="1" applyFont="1"/>
    <xf numFmtId="164" fontId="1" fillId="4" borderId="0" xfId="0" applyNumberFormat="1" applyFont="1" applyFill="1"/>
    <xf numFmtId="164" fontId="1" fillId="5" borderId="0" xfId="0" applyNumberFormat="1" applyFont="1" applyFill="1"/>
    <xf numFmtId="164" fontId="1" fillId="0" borderId="2" xfId="0" applyNumberFormat="1" applyFont="1" applyBorder="1"/>
    <xf numFmtId="164" fontId="1" fillId="0" borderId="13" xfId="0" applyNumberFormat="1" applyFont="1" applyBorder="1"/>
    <xf numFmtId="164" fontId="1" fillId="0" borderId="12" xfId="0" applyNumberFormat="1" applyFont="1" applyBorder="1"/>
    <xf numFmtId="164" fontId="1" fillId="0" borderId="22" xfId="0" applyNumberFormat="1" applyFont="1" applyBorder="1"/>
    <xf numFmtId="164" fontId="1" fillId="0" borderId="26" xfId="0" applyNumberFormat="1" applyFont="1" applyBorder="1"/>
    <xf numFmtId="164" fontId="1" fillId="0" borderId="24" xfId="0" applyNumberFormat="1" applyFont="1" applyBorder="1"/>
    <xf numFmtId="164" fontId="1" fillId="4" borderId="14" xfId="0" applyNumberFormat="1" applyFont="1" applyFill="1" applyBorder="1"/>
    <xf numFmtId="164" fontId="1" fillId="4" borderId="15" xfId="0" applyNumberFormat="1" applyFont="1" applyFill="1" applyBorder="1"/>
    <xf numFmtId="164" fontId="1" fillId="4" borderId="16" xfId="0" applyNumberFormat="1" applyFont="1" applyFill="1" applyBorder="1"/>
    <xf numFmtId="164" fontId="1" fillId="5" borderId="15" xfId="0" applyNumberFormat="1" applyFont="1" applyFill="1" applyBorder="1"/>
    <xf numFmtId="164" fontId="1" fillId="5" borderId="4" xfId="0" applyNumberFormat="1" applyFont="1" applyFill="1" applyBorder="1"/>
    <xf numFmtId="164" fontId="1" fillId="5" borderId="1" xfId="0" applyNumberFormat="1" applyFont="1" applyFill="1" applyBorder="1"/>
    <xf numFmtId="164" fontId="1" fillId="5" borderId="7" xfId="0" applyNumberFormat="1" applyFont="1" applyFill="1" applyBorder="1"/>
    <xf numFmtId="164" fontId="1" fillId="5" borderId="6" xfId="0" applyNumberFormat="1" applyFont="1" applyFill="1" applyBorder="1"/>
    <xf numFmtId="164" fontId="1" fillId="5" borderId="8" xfId="0" applyNumberFormat="1" applyFont="1" applyFill="1" applyBorder="1"/>
    <xf numFmtId="164" fontId="1" fillId="5" borderId="9" xfId="0" applyNumberFormat="1" applyFont="1" applyFill="1" applyBorder="1"/>
    <xf numFmtId="164" fontId="1" fillId="5" borderId="5" xfId="0" applyNumberFormat="1" applyFont="1" applyFill="1" applyBorder="1"/>
    <xf numFmtId="164" fontId="1" fillId="5" borderId="10" xfId="0" applyNumberFormat="1" applyFont="1" applyFill="1" applyBorder="1"/>
    <xf numFmtId="164" fontId="1" fillId="5" borderId="14" xfId="0" applyNumberFormat="1" applyFont="1" applyFill="1" applyBorder="1"/>
    <xf numFmtId="164" fontId="1" fillId="5" borderId="16" xfId="0" applyNumberFormat="1" applyFont="1" applyFill="1" applyBorder="1"/>
    <xf numFmtId="164" fontId="1" fillId="6" borderId="17" xfId="0" applyNumberFormat="1" applyFont="1" applyFill="1" applyBorder="1"/>
    <xf numFmtId="164" fontId="1" fillId="6" borderId="0" xfId="0" applyNumberFormat="1" applyFont="1" applyFill="1"/>
    <xf numFmtId="164" fontId="1" fillId="4" borderId="4" xfId="0" applyNumberFormat="1" applyFont="1" applyFill="1" applyBorder="1"/>
    <xf numFmtId="164" fontId="1" fillId="4" borderId="1" xfId="0" applyNumberFormat="1" applyFont="1" applyFill="1" applyBorder="1"/>
    <xf numFmtId="164" fontId="1" fillId="4" borderId="5" xfId="0" applyNumberFormat="1" applyFont="1" applyFill="1" applyBorder="1"/>
    <xf numFmtId="164" fontId="1" fillId="4" borderId="7" xfId="0" applyNumberFormat="1" applyFont="1" applyFill="1" applyBorder="1"/>
    <xf numFmtId="164" fontId="1" fillId="4" borderId="6" xfId="0" applyNumberFormat="1" applyFont="1" applyFill="1" applyBorder="1"/>
    <xf numFmtId="164" fontId="1" fillId="4" borderId="10" xfId="0" applyNumberFormat="1" applyFont="1" applyFill="1" applyBorder="1"/>
    <xf numFmtId="164" fontId="1" fillId="4" borderId="8" xfId="0" applyNumberFormat="1" applyFont="1" applyFill="1" applyBorder="1"/>
    <xf numFmtId="164" fontId="1" fillId="4" borderId="9" xfId="0" applyNumberFormat="1" applyFont="1" applyFill="1" applyBorder="1"/>
    <xf numFmtId="164" fontId="1" fillId="5" borderId="19" xfId="0" applyNumberFormat="1" applyFont="1" applyFill="1" applyBorder="1"/>
    <xf numFmtId="164" fontId="1" fillId="5" borderId="11" xfId="0" applyNumberFormat="1" applyFont="1" applyFill="1" applyBorder="1"/>
    <xf numFmtId="164" fontId="1" fillId="5" borderId="12" xfId="0" applyNumberFormat="1" applyFont="1" applyFill="1" applyBorder="1"/>
    <xf numFmtId="164" fontId="1" fillId="5" borderId="20" xfId="0" applyNumberFormat="1" applyFont="1" applyFill="1" applyBorder="1"/>
    <xf numFmtId="164" fontId="1" fillId="0" borderId="20" xfId="0" applyNumberFormat="1" applyFont="1" applyBorder="1"/>
    <xf numFmtId="164" fontId="1" fillId="0" borderId="18" xfId="0" applyNumberFormat="1" applyFont="1" applyBorder="1"/>
    <xf numFmtId="164" fontId="1" fillId="5" borderId="18" xfId="0" applyNumberFormat="1" applyFont="1" applyFill="1" applyBorder="1"/>
    <xf numFmtId="164" fontId="1" fillId="5" borderId="2" xfId="0" applyNumberFormat="1" applyFont="1" applyFill="1" applyBorder="1"/>
    <xf numFmtId="164" fontId="1" fillId="5" borderId="13" xfId="0" applyNumberFormat="1" applyFont="1" applyFill="1" applyBorder="1"/>
    <xf numFmtId="164" fontId="1" fillId="5" borderId="3" xfId="0" applyNumberFormat="1" applyFont="1" applyFill="1" applyBorder="1"/>
    <xf numFmtId="164" fontId="1" fillId="2" borderId="30" xfId="0" applyNumberFormat="1" applyFont="1" applyFill="1" applyBorder="1"/>
    <xf numFmtId="164" fontId="1" fillId="2" borderId="23" xfId="0" applyNumberFormat="1" applyFont="1" applyFill="1" applyBorder="1"/>
    <xf numFmtId="0" fontId="5" fillId="0" borderId="0" xfId="0" applyFont="1"/>
    <xf numFmtId="0" fontId="5" fillId="0" borderId="0" xfId="0" applyFont="1" applyAlignment="1">
      <alignment horizontal="left"/>
    </xf>
    <xf numFmtId="164" fontId="1" fillId="7" borderId="0" xfId="0" applyNumberFormat="1" applyFont="1" applyFill="1"/>
    <xf numFmtId="164" fontId="1" fillId="7" borderId="4" xfId="0" applyNumberFormat="1" applyFont="1" applyFill="1" applyBorder="1"/>
    <xf numFmtId="164" fontId="1" fillId="7" borderId="1" xfId="0" applyNumberFormat="1" applyFont="1" applyFill="1" applyBorder="1"/>
    <xf numFmtId="164" fontId="1" fillId="7" borderId="5" xfId="0" applyNumberFormat="1" applyFont="1" applyFill="1" applyBorder="1"/>
    <xf numFmtId="164" fontId="1" fillId="7" borderId="27" xfId="0" applyNumberFormat="1" applyFont="1" applyFill="1" applyBorder="1"/>
    <xf numFmtId="164" fontId="1" fillId="7" borderId="10" xfId="0" applyNumberFormat="1" applyFont="1" applyFill="1" applyBorder="1"/>
    <xf numFmtId="164" fontId="1" fillId="7" borderId="8" xfId="0" applyNumberFormat="1" applyFont="1" applyFill="1" applyBorder="1"/>
    <xf numFmtId="164" fontId="1" fillId="7" borderId="9" xfId="0" applyNumberFormat="1" applyFont="1" applyFill="1" applyBorder="1"/>
    <xf numFmtId="164" fontId="1" fillId="7" borderId="29" xfId="0" applyNumberFormat="1" applyFont="1" applyFill="1" applyBorder="1"/>
    <xf numFmtId="164" fontId="1" fillId="7" borderId="14" xfId="0" applyNumberFormat="1" applyFont="1" applyFill="1" applyBorder="1"/>
    <xf numFmtId="164" fontId="1" fillId="7" borderId="15" xfId="0" applyNumberFormat="1" applyFont="1" applyFill="1" applyBorder="1"/>
    <xf numFmtId="164" fontId="1" fillId="7" borderId="19" xfId="0" applyNumberFormat="1" applyFont="1" applyFill="1" applyBorder="1"/>
    <xf numFmtId="164" fontId="1" fillId="7" borderId="17" xfId="0" applyNumberFormat="1" applyFont="1" applyFill="1" applyBorder="1"/>
    <xf numFmtId="164" fontId="1" fillId="7" borderId="16" xfId="0" applyNumberFormat="1" applyFont="1" applyFill="1" applyBorder="1"/>
    <xf numFmtId="164" fontId="1" fillId="2" borderId="17" xfId="0" applyNumberFormat="1" applyFont="1" applyFill="1" applyBorder="1"/>
    <xf numFmtId="164" fontId="1" fillId="2" borderId="22" xfId="0" applyNumberFormat="1" applyFont="1" applyFill="1" applyBorder="1"/>
    <xf numFmtId="164" fontId="1" fillId="5" borderId="30" xfId="0" applyNumberFormat="1" applyFont="1" applyFill="1" applyBorder="1"/>
    <xf numFmtId="164" fontId="1" fillId="5" borderId="22" xfId="0" applyNumberFormat="1" applyFont="1" applyFill="1" applyBorder="1"/>
    <xf numFmtId="164" fontId="1" fillId="5" borderId="23" xfId="0" applyNumberFormat="1" applyFont="1" applyFill="1" applyBorder="1"/>
    <xf numFmtId="0" fontId="9" fillId="0" borderId="0" xfId="0" applyFont="1"/>
    <xf numFmtId="0" fontId="0" fillId="5" borderId="0" xfId="0" applyFill="1"/>
    <xf numFmtId="0" fontId="8" fillId="8" borderId="8" xfId="0" applyFont="1" applyFill="1" applyBorder="1"/>
    <xf numFmtId="0" fontId="8" fillId="8" borderId="0" xfId="0" applyFont="1" applyFill="1"/>
    <xf numFmtId="0" fontId="10" fillId="0" borderId="0" xfId="0" applyFont="1"/>
    <xf numFmtId="0" fontId="0" fillId="3" borderId="0" xfId="0" applyFill="1"/>
    <xf numFmtId="0" fontId="0" fillId="9" borderId="0" xfId="0" applyFill="1"/>
    <xf numFmtId="0" fontId="0" fillId="10" borderId="0" xfId="0" applyFill="1"/>
    <xf numFmtId="0" fontId="0" fillId="4" borderId="0" xfId="0" applyFill="1"/>
    <xf numFmtId="0" fontId="0" fillId="2" borderId="0" xfId="0" applyFill="1"/>
    <xf numFmtId="164" fontId="7" fillId="11" borderId="14" xfId="0" applyNumberFormat="1" applyFont="1" applyFill="1" applyBorder="1"/>
    <xf numFmtId="164" fontId="7" fillId="11" borderId="15" xfId="0" applyNumberFormat="1" applyFont="1" applyFill="1" applyBorder="1"/>
    <xf numFmtId="164" fontId="7" fillId="11" borderId="16" xfId="0" applyNumberFormat="1" applyFont="1" applyFill="1" applyBorder="1"/>
    <xf numFmtId="164" fontId="7" fillId="11" borderId="4" xfId="0" applyNumberFormat="1" applyFont="1" applyFill="1" applyBorder="1"/>
    <xf numFmtId="164" fontId="7" fillId="11" borderId="1" xfId="0" applyNumberFormat="1" applyFont="1" applyFill="1" applyBorder="1"/>
    <xf numFmtId="164" fontId="7" fillId="11" borderId="5" xfId="0" applyNumberFormat="1" applyFont="1" applyFill="1" applyBorder="1"/>
    <xf numFmtId="164" fontId="1" fillId="11" borderId="7" xfId="0" applyNumberFormat="1" applyFont="1" applyFill="1" applyBorder="1" applyAlignment="1">
      <alignment horizontal="center"/>
    </xf>
    <xf numFmtId="164" fontId="1" fillId="11" borderId="4" xfId="0" applyNumberFormat="1" applyFont="1" applyFill="1" applyBorder="1" applyAlignment="1">
      <alignment horizontal="center"/>
    </xf>
    <xf numFmtId="164" fontId="1" fillId="11" borderId="1" xfId="0" applyNumberFormat="1" applyFont="1" applyFill="1" applyBorder="1" applyAlignment="1">
      <alignment horizontal="center"/>
    </xf>
    <xf numFmtId="164" fontId="1" fillId="11" borderId="5" xfId="0" applyNumberFormat="1" applyFont="1" applyFill="1" applyBorder="1" applyAlignment="1">
      <alignment horizontal="center"/>
    </xf>
    <xf numFmtId="164" fontId="1" fillId="11" borderId="6" xfId="0" applyNumberFormat="1" applyFont="1" applyFill="1" applyBorder="1" applyAlignment="1">
      <alignment horizontal="center"/>
    </xf>
    <xf numFmtId="164" fontId="1" fillId="11" borderId="10" xfId="0" applyNumberFormat="1" applyFont="1" applyFill="1" applyBorder="1" applyAlignment="1">
      <alignment horizontal="center"/>
    </xf>
    <xf numFmtId="164" fontId="1" fillId="11" borderId="8" xfId="0" applyNumberFormat="1" applyFont="1" applyFill="1" applyBorder="1" applyAlignment="1">
      <alignment horizontal="center"/>
    </xf>
    <xf numFmtId="164" fontId="1" fillId="11" borderId="9" xfId="0" applyNumberFormat="1" applyFont="1" applyFill="1" applyBorder="1" applyAlignment="1">
      <alignment horizontal="center"/>
    </xf>
    <xf numFmtId="164" fontId="7" fillId="12" borderId="0" xfId="0" applyNumberFormat="1" applyFont="1" applyFill="1"/>
    <xf numFmtId="164" fontId="2" fillId="12" borderId="0" xfId="0" applyNumberFormat="1" applyFont="1" applyFill="1"/>
    <xf numFmtId="164" fontId="1" fillId="5" borderId="10" xfId="0" applyNumberFormat="1" applyFont="1" applyFill="1" applyBorder="1" applyAlignment="1">
      <alignment horizontal="center"/>
    </xf>
    <xf numFmtId="164" fontId="1" fillId="5" borderId="8" xfId="0" applyNumberFormat="1" applyFont="1" applyFill="1" applyBorder="1" applyAlignment="1">
      <alignment horizontal="center"/>
    </xf>
    <xf numFmtId="164" fontId="1" fillId="5" borderId="9" xfId="0" applyNumberFormat="1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164" fontId="1" fillId="5" borderId="4" xfId="0" applyNumberFormat="1" applyFont="1" applyFill="1" applyBorder="1" applyAlignment="1">
      <alignment horizontal="center"/>
    </xf>
    <xf numFmtId="164" fontId="1" fillId="5" borderId="5" xfId="0" applyNumberFormat="1" applyFont="1" applyFill="1" applyBorder="1" applyAlignment="1">
      <alignment horizontal="center"/>
    </xf>
    <xf numFmtId="164" fontId="2" fillId="0" borderId="21" xfId="0" applyNumberFormat="1" applyFont="1" applyBorder="1"/>
    <xf numFmtId="164" fontId="1" fillId="13" borderId="0" xfId="0" applyNumberFormat="1" applyFont="1" applyFill="1"/>
    <xf numFmtId="164" fontId="1" fillId="13" borderId="24" xfId="0" applyNumberFormat="1" applyFont="1" applyFill="1" applyBorder="1"/>
    <xf numFmtId="164" fontId="1" fillId="0" borderId="25" xfId="0" applyNumberFormat="1" applyFont="1" applyBorder="1"/>
    <xf numFmtId="0" fontId="11" fillId="0" borderId="0" xfId="0" applyFont="1"/>
    <xf numFmtId="164" fontId="7" fillId="11" borderId="7" xfId="0" applyNumberFormat="1" applyFont="1" applyFill="1" applyBorder="1"/>
    <xf numFmtId="164" fontId="7" fillId="11" borderId="6" xfId="0" applyNumberFormat="1" applyFont="1" applyFill="1" applyBorder="1"/>
    <xf numFmtId="164" fontId="1" fillId="11" borderId="10" xfId="0" applyNumberFormat="1" applyFont="1" applyFill="1" applyBorder="1"/>
    <xf numFmtId="164" fontId="1" fillId="11" borderId="8" xfId="0" applyNumberFormat="1" applyFont="1" applyFill="1" applyBorder="1"/>
    <xf numFmtId="164" fontId="1" fillId="11" borderId="9" xfId="0" applyNumberFormat="1" applyFont="1" applyFill="1" applyBorder="1"/>
    <xf numFmtId="164" fontId="1" fillId="11" borderId="14" xfId="0" applyNumberFormat="1" applyFont="1" applyFill="1" applyBorder="1"/>
    <xf numFmtId="164" fontId="1" fillId="11" borderId="15" xfId="0" applyNumberFormat="1" applyFont="1" applyFill="1" applyBorder="1"/>
    <xf numFmtId="164" fontId="1" fillId="11" borderId="16" xfId="0" applyNumberFormat="1" applyFont="1" applyFill="1" applyBorder="1"/>
    <xf numFmtId="164" fontId="1" fillId="5" borderId="31" xfId="0" applyNumberFormat="1" applyFont="1" applyFill="1" applyBorder="1"/>
    <xf numFmtId="164" fontId="1" fillId="11" borderId="0" xfId="0" applyNumberFormat="1" applyFont="1" applyFill="1"/>
    <xf numFmtId="164" fontId="1" fillId="11" borderId="7" xfId="0" applyNumberFormat="1" applyFont="1" applyFill="1" applyBorder="1"/>
    <xf numFmtId="164" fontId="1" fillId="11" borderId="6" xfId="0" applyNumberFormat="1" applyFont="1" applyFill="1" applyBorder="1"/>
    <xf numFmtId="164" fontId="1" fillId="11" borderId="4" xfId="0" applyNumberFormat="1" applyFont="1" applyFill="1" applyBorder="1"/>
    <xf numFmtId="164" fontId="1" fillId="11" borderId="5" xfId="0" applyNumberFormat="1" applyFont="1" applyFill="1" applyBorder="1"/>
    <xf numFmtId="164" fontId="1" fillId="0" borderId="0" xfId="0" applyNumberFormat="1" applyFont="1" applyAlignment="1">
      <alignment horizontal="center"/>
    </xf>
    <xf numFmtId="164" fontId="1" fillId="11" borderId="14" xfId="0" applyNumberFormat="1" applyFont="1" applyFill="1" applyBorder="1" applyAlignment="1">
      <alignment horizontal="center"/>
    </xf>
    <xf numFmtId="164" fontId="1" fillId="11" borderId="15" xfId="0" applyNumberFormat="1" applyFont="1" applyFill="1" applyBorder="1" applyAlignment="1">
      <alignment horizontal="center"/>
    </xf>
    <xf numFmtId="164" fontId="1" fillId="11" borderId="16" xfId="0" applyNumberFormat="1" applyFont="1" applyFill="1" applyBorder="1" applyAlignment="1">
      <alignment horizontal="center"/>
    </xf>
    <xf numFmtId="164" fontId="1" fillId="11" borderId="0" xfId="0" applyNumberFormat="1" applyFont="1" applyFill="1" applyAlignment="1">
      <alignment horizontal="center"/>
    </xf>
    <xf numFmtId="164" fontId="7" fillId="11" borderId="0" xfId="0" applyNumberFormat="1" applyFont="1" applyFill="1"/>
    <xf numFmtId="164" fontId="1" fillId="4" borderId="27" xfId="0" applyNumberFormat="1" applyFont="1" applyFill="1" applyBorder="1"/>
    <xf numFmtId="164" fontId="1" fillId="4" borderId="28" xfId="0" applyNumberFormat="1" applyFont="1" applyFill="1" applyBorder="1"/>
    <xf numFmtId="164" fontId="1" fillId="4" borderId="29" xfId="0" applyNumberFormat="1" applyFont="1" applyFill="1" applyBorder="1"/>
    <xf numFmtId="164" fontId="1" fillId="5" borderId="35" xfId="0" applyNumberFormat="1" applyFont="1" applyFill="1" applyBorder="1"/>
    <xf numFmtId="164" fontId="1" fillId="11" borderId="35" xfId="0" applyNumberFormat="1" applyFont="1" applyFill="1" applyBorder="1"/>
    <xf numFmtId="164" fontId="1" fillId="11" borderId="36" xfId="0" applyNumberFormat="1" applyFont="1" applyFill="1" applyBorder="1"/>
    <xf numFmtId="164" fontId="1" fillId="5" borderId="33" xfId="0" applyNumberFormat="1" applyFont="1" applyFill="1" applyBorder="1"/>
    <xf numFmtId="164" fontId="1" fillId="5" borderId="34" xfId="0" applyNumberFormat="1" applyFont="1" applyFill="1" applyBorder="1"/>
    <xf numFmtId="164" fontId="1" fillId="5" borderId="32" xfId="0" applyNumberFormat="1" applyFont="1" applyFill="1" applyBorder="1"/>
    <xf numFmtId="164" fontId="1" fillId="5" borderId="7" xfId="0" applyNumberFormat="1" applyFont="1" applyFill="1" applyBorder="1" applyAlignment="1">
      <alignment horizontal="center"/>
    </xf>
    <xf numFmtId="164" fontId="1" fillId="5" borderId="6" xfId="0" applyNumberFormat="1" applyFont="1" applyFill="1" applyBorder="1" applyAlignment="1">
      <alignment horizontal="center"/>
    </xf>
    <xf numFmtId="164" fontId="1" fillId="11" borderId="29" xfId="0" applyNumberFormat="1" applyFont="1" applyFill="1" applyBorder="1"/>
    <xf numFmtId="164" fontId="1" fillId="11" borderId="17" xfId="0" applyNumberFormat="1" applyFont="1" applyFill="1" applyBorder="1"/>
    <xf numFmtId="49" fontId="5" fillId="0" borderId="0" xfId="0" applyNumberFormat="1" applyFont="1" applyAlignment="1">
      <alignment horizontal="left"/>
    </xf>
    <xf numFmtId="0" fontId="13" fillId="0" borderId="0" xfId="0" applyFont="1"/>
    <xf numFmtId="165" fontId="0" fillId="0" borderId="0" xfId="0" applyNumberFormat="1" applyAlignment="1">
      <alignment horizontal="left"/>
    </xf>
    <xf numFmtId="49" fontId="8" fillId="14" borderId="37" xfId="0" applyNumberFormat="1" applyFont="1" applyFill="1" applyBorder="1"/>
    <xf numFmtId="49" fontId="8" fillId="14" borderId="38" xfId="0" applyNumberFormat="1" applyFont="1" applyFill="1" applyBorder="1"/>
    <xf numFmtId="49" fontId="8" fillId="14" borderId="39" xfId="0" applyNumberFormat="1" applyFont="1" applyFill="1" applyBorder="1" applyAlignment="1">
      <alignment horizontal="left"/>
    </xf>
    <xf numFmtId="0" fontId="0" fillId="0" borderId="0" xfId="0" quotePrefix="1"/>
    <xf numFmtId="164" fontId="1" fillId="5" borderId="0" xfId="0" applyNumberFormat="1" applyFont="1" applyFill="1" applyAlignment="1">
      <alignment horizontal="center"/>
    </xf>
    <xf numFmtId="164" fontId="1" fillId="11" borderId="1" xfId="0" applyNumberFormat="1" applyFont="1" applyFill="1" applyBorder="1"/>
    <xf numFmtId="164" fontId="1" fillId="11" borderId="27" xfId="0" applyNumberFormat="1" applyFont="1" applyFill="1" applyBorder="1"/>
    <xf numFmtId="0" fontId="0" fillId="0" borderId="0" xfId="0" applyAlignment="1">
      <alignment wrapText="1"/>
    </xf>
    <xf numFmtId="164" fontId="1" fillId="5" borderId="17" xfId="0" applyNumberFormat="1" applyFont="1" applyFill="1" applyBorder="1"/>
    <xf numFmtId="0" fontId="4" fillId="0" borderId="0" xfId="0" applyFont="1" applyAlignment="1">
      <alignment horizontal="left"/>
    </xf>
    <xf numFmtId="0" fontId="4" fillId="0" borderId="0" xfId="0" applyFont="1"/>
    <xf numFmtId="164" fontId="0" fillId="0" borderId="0" xfId="0" applyNumberFormat="1" applyAlignment="1">
      <alignment horizontal="left"/>
    </xf>
    <xf numFmtId="11" fontId="0" fillId="0" borderId="0" xfId="0" applyNumberFormat="1"/>
  </cellXfs>
  <cellStyles count="1">
    <cellStyle name="Normal" xfId="0" builtinId="0"/>
  </cellStyles>
  <dxfs count="9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numFmt numFmtId="30" formatCode="@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6" formatCode="h:mm;@"/>
    </dxf>
    <dxf>
      <numFmt numFmtId="1" formatCode="0"/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font>
        <color rgb="FFFF0000"/>
      </font>
      <numFmt numFmtId="30" formatCode="@"/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alignment horizontal="general" vertical="bottom" textRotation="0" wrapText="1" indent="0" justifyLastLine="0" shrinkToFit="0" readingOrder="0"/>
    </dxf>
    <dxf>
      <fill>
        <patternFill>
          <bgColor theme="4" tint="0.79998168889431442"/>
        </patternFill>
      </fill>
    </dxf>
  </dxfs>
  <tableStyles count="1" defaultTableStyle="TableStyleMedium2" defaultPivotStyle="PivotStyleLight16">
    <tableStyle name="Table Style 1" pivot="0" count="1" xr9:uid="{0BEE0D53-EBC6-854D-A586-332362188F79}">
      <tableStyleElement type="firstRowStripe" dxfId="90"/>
    </tableStyle>
  </tableStyles>
  <colors>
    <mruColors>
      <color rgb="FFD8D2FA"/>
      <color rgb="FFFFCCCC"/>
      <color rgb="FFCC99FF"/>
      <color rgb="FF5B9BD5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61489</xdr:colOff>
      <xdr:row>31</xdr:row>
      <xdr:rowOff>33128</xdr:rowOff>
    </xdr:from>
    <xdr:ext cx="221663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sellaDiTesto 60">
              <a:extLst>
                <a:ext uri="{FF2B5EF4-FFF2-40B4-BE49-F238E27FC236}">
                  <a16:creationId xmlns:a16="http://schemas.microsoft.com/office/drawing/2014/main" id="{91576AED-E14F-4FD7-82A9-715F0B7AE4DA}"/>
                </a:ext>
              </a:extLst>
            </xdr:cNvPr>
            <xdr:cNvSpPr txBox="1"/>
          </xdr:nvSpPr>
          <xdr:spPr>
            <a:xfrm>
              <a:off x="6725254" y="4814304"/>
              <a:ext cx="221663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𝐯</m:t>
                        </m:r>
                      </m:e>
                      <m:sub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𝐲𝐲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2" name="CasellaDiTesto 60">
              <a:extLst>
                <a:ext uri="{FF2B5EF4-FFF2-40B4-BE49-F238E27FC236}">
                  <a16:creationId xmlns:a16="http://schemas.microsoft.com/office/drawing/2014/main" id="{91576AED-E14F-4FD7-82A9-715F0B7AE4DA}"/>
                </a:ext>
              </a:extLst>
            </xdr:cNvPr>
            <xdr:cNvSpPr txBox="1"/>
          </xdr:nvSpPr>
          <xdr:spPr>
            <a:xfrm>
              <a:off x="6725254" y="4814304"/>
              <a:ext cx="221663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latin typeface="Cambria Math" panose="02040503050406030204" pitchFamily="18" charset="0"/>
                </a:rPr>
                <a:t>𝐯_𝐲𝐲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23</xdr:col>
      <xdr:colOff>80973</xdr:colOff>
      <xdr:row>29</xdr:row>
      <xdr:rowOff>118166</xdr:rowOff>
    </xdr:from>
    <xdr:ext cx="10810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asellaDiTesto 60">
              <a:extLst>
                <a:ext uri="{FF2B5EF4-FFF2-40B4-BE49-F238E27FC236}">
                  <a16:creationId xmlns:a16="http://schemas.microsoft.com/office/drawing/2014/main" id="{4424240C-F559-C446-F161-84B039395202}"/>
                </a:ext>
              </a:extLst>
            </xdr:cNvPr>
            <xdr:cNvSpPr txBox="1"/>
          </xdr:nvSpPr>
          <xdr:spPr>
            <a:xfrm>
              <a:off x="5937914" y="4570637"/>
              <a:ext cx="10810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𝐯</m:t>
                    </m:r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6" name="CasellaDiTesto 60">
              <a:extLst>
                <a:ext uri="{FF2B5EF4-FFF2-40B4-BE49-F238E27FC236}">
                  <a16:creationId xmlns:a16="http://schemas.microsoft.com/office/drawing/2014/main" id="{4424240C-F559-C446-F161-84B039395202}"/>
                </a:ext>
              </a:extLst>
            </xdr:cNvPr>
            <xdr:cNvSpPr txBox="1"/>
          </xdr:nvSpPr>
          <xdr:spPr>
            <a:xfrm>
              <a:off x="5937914" y="4570637"/>
              <a:ext cx="10810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𝐯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29</xdr:col>
      <xdr:colOff>42439</xdr:colOff>
      <xdr:row>35</xdr:row>
      <xdr:rowOff>77578</xdr:rowOff>
    </xdr:from>
    <xdr:ext cx="23301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asellaDiTesto 60">
              <a:extLst>
                <a:ext uri="{FF2B5EF4-FFF2-40B4-BE49-F238E27FC236}">
                  <a16:creationId xmlns:a16="http://schemas.microsoft.com/office/drawing/2014/main" id="{F2EB15EB-F2AD-4DF7-9EA3-A3474FCE9286}"/>
                </a:ext>
              </a:extLst>
            </xdr:cNvPr>
            <xdr:cNvSpPr txBox="1"/>
          </xdr:nvSpPr>
          <xdr:spPr>
            <a:xfrm>
              <a:off x="8319851" y="5516166"/>
              <a:ext cx="23301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𝐯</m:t>
                        </m:r>
                      </m:e>
                      <m:sub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𝐡𝐡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7" name="CasellaDiTesto 60">
              <a:extLst>
                <a:ext uri="{FF2B5EF4-FFF2-40B4-BE49-F238E27FC236}">
                  <a16:creationId xmlns:a16="http://schemas.microsoft.com/office/drawing/2014/main" id="{F2EB15EB-F2AD-4DF7-9EA3-A3474FCE9286}"/>
                </a:ext>
              </a:extLst>
            </xdr:cNvPr>
            <xdr:cNvSpPr txBox="1"/>
          </xdr:nvSpPr>
          <xdr:spPr>
            <a:xfrm>
              <a:off x="8319851" y="5516166"/>
              <a:ext cx="23301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latin typeface="Cambria Math" panose="02040503050406030204" pitchFamily="18" charset="0"/>
                </a:rPr>
                <a:t>𝐯_𝐡𝐡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36</xdr:col>
      <xdr:colOff>119743</xdr:colOff>
      <xdr:row>31</xdr:row>
      <xdr:rowOff>33128</xdr:rowOff>
    </xdr:from>
    <xdr:ext cx="203645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asellaDiTesto 60">
              <a:extLst>
                <a:ext uri="{FF2B5EF4-FFF2-40B4-BE49-F238E27FC236}">
                  <a16:creationId xmlns:a16="http://schemas.microsoft.com/office/drawing/2014/main" id="{16B9362E-F567-3179-55E6-308FA3E28649}"/>
                </a:ext>
              </a:extLst>
            </xdr:cNvPr>
            <xdr:cNvSpPr txBox="1"/>
          </xdr:nvSpPr>
          <xdr:spPr>
            <a:xfrm>
              <a:off x="11221037" y="4814304"/>
              <a:ext cx="203645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𝐈</m:t>
                        </m:r>
                      </m:e>
                      <m:sub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𝐲𝐲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8" name="CasellaDiTesto 60">
              <a:extLst>
                <a:ext uri="{FF2B5EF4-FFF2-40B4-BE49-F238E27FC236}">
                  <a16:creationId xmlns:a16="http://schemas.microsoft.com/office/drawing/2014/main" id="{16B9362E-F567-3179-55E6-308FA3E28649}"/>
                </a:ext>
              </a:extLst>
            </xdr:cNvPr>
            <xdr:cNvSpPr txBox="1"/>
          </xdr:nvSpPr>
          <xdr:spPr>
            <a:xfrm>
              <a:off x="11221037" y="4814304"/>
              <a:ext cx="203645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latin typeface="Cambria Math" panose="02040503050406030204" pitchFamily="18" charset="0"/>
                </a:rPr>
                <a:t>𝐈_𝐲𝐲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45</xdr:col>
      <xdr:colOff>145143</xdr:colOff>
      <xdr:row>35</xdr:row>
      <xdr:rowOff>64878</xdr:rowOff>
    </xdr:from>
    <xdr:ext cx="2149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asellaDiTesto 60">
              <a:extLst>
                <a:ext uri="{FF2B5EF4-FFF2-40B4-BE49-F238E27FC236}">
                  <a16:creationId xmlns:a16="http://schemas.microsoft.com/office/drawing/2014/main" id="{E1F30593-13D5-0FC1-34B3-5C59AA1F3674}"/>
                </a:ext>
              </a:extLst>
            </xdr:cNvPr>
            <xdr:cNvSpPr txBox="1"/>
          </xdr:nvSpPr>
          <xdr:spPr>
            <a:xfrm>
              <a:off x="14877143" y="5503466"/>
              <a:ext cx="2149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𝐈</m:t>
                        </m:r>
                      </m:e>
                      <m:sub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𝐡𝐡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9" name="CasellaDiTesto 60">
              <a:extLst>
                <a:ext uri="{FF2B5EF4-FFF2-40B4-BE49-F238E27FC236}">
                  <a16:creationId xmlns:a16="http://schemas.microsoft.com/office/drawing/2014/main" id="{E1F30593-13D5-0FC1-34B3-5C59AA1F3674}"/>
                </a:ext>
              </a:extLst>
            </xdr:cNvPr>
            <xdr:cNvSpPr txBox="1"/>
          </xdr:nvSpPr>
          <xdr:spPr>
            <a:xfrm>
              <a:off x="14877143" y="5503466"/>
              <a:ext cx="2149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latin typeface="Cambria Math" panose="02040503050406030204" pitchFamily="18" charset="0"/>
                </a:rPr>
                <a:t>𝐈_𝐡𝐡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31</xdr:col>
      <xdr:colOff>46718</xdr:colOff>
      <xdr:row>29</xdr:row>
      <xdr:rowOff>96628</xdr:rowOff>
    </xdr:from>
    <xdr:ext cx="17697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asellaDiTesto 60">
              <a:extLst>
                <a:ext uri="{FF2B5EF4-FFF2-40B4-BE49-F238E27FC236}">
                  <a16:creationId xmlns:a16="http://schemas.microsoft.com/office/drawing/2014/main" id="{51DBBC06-D2E7-041D-5AE0-201B1711CA0B}"/>
                </a:ext>
              </a:extLst>
            </xdr:cNvPr>
            <xdr:cNvSpPr txBox="1"/>
          </xdr:nvSpPr>
          <xdr:spPr>
            <a:xfrm>
              <a:off x="15543160" y="5335378"/>
              <a:ext cx="17697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𝐈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𝐬𝐭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0" name="CasellaDiTesto 60">
              <a:extLst>
                <a:ext uri="{FF2B5EF4-FFF2-40B4-BE49-F238E27FC236}">
                  <a16:creationId xmlns:a16="http://schemas.microsoft.com/office/drawing/2014/main" id="{51DBBC06-D2E7-041D-5AE0-201B1711CA0B}"/>
                </a:ext>
              </a:extLst>
            </xdr:cNvPr>
            <xdr:cNvSpPr txBox="1"/>
          </xdr:nvSpPr>
          <xdr:spPr>
            <a:xfrm>
              <a:off x="15543160" y="5335378"/>
              <a:ext cx="17697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𝐈_𝐬𝐭</a:t>
              </a:r>
              <a:endParaRPr lang="it-IT" sz="11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36</xdr:col>
      <xdr:colOff>64523</xdr:colOff>
      <xdr:row>22</xdr:row>
      <xdr:rowOff>27882</xdr:rowOff>
    </xdr:from>
    <xdr:ext cx="238591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asellaDiTesto 60">
              <a:extLst>
                <a:ext uri="{FF2B5EF4-FFF2-40B4-BE49-F238E27FC236}">
                  <a16:creationId xmlns:a16="http://schemas.microsoft.com/office/drawing/2014/main" id="{E98DB4C1-4310-6EED-CC6B-A0ECAF826E45}"/>
                </a:ext>
              </a:extLst>
            </xdr:cNvPr>
            <xdr:cNvSpPr txBox="1"/>
          </xdr:nvSpPr>
          <xdr:spPr>
            <a:xfrm>
              <a:off x="11165817" y="3329882"/>
              <a:ext cx="238591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𝐮</m:t>
                        </m:r>
                      </m:e>
                      <m:sub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𝐲𝐲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11" name="CasellaDiTesto 60">
              <a:extLst>
                <a:ext uri="{FF2B5EF4-FFF2-40B4-BE49-F238E27FC236}">
                  <a16:creationId xmlns:a16="http://schemas.microsoft.com/office/drawing/2014/main" id="{E98DB4C1-4310-6EED-CC6B-A0ECAF826E45}"/>
                </a:ext>
              </a:extLst>
            </xdr:cNvPr>
            <xdr:cNvSpPr txBox="1"/>
          </xdr:nvSpPr>
          <xdr:spPr>
            <a:xfrm>
              <a:off x="11165817" y="3329882"/>
              <a:ext cx="238591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latin typeface="Cambria Math" panose="02040503050406030204" pitchFamily="18" charset="0"/>
                </a:rPr>
                <a:t>𝐮_𝐲𝐲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36</xdr:col>
      <xdr:colOff>59001</xdr:colOff>
      <xdr:row>25</xdr:row>
      <xdr:rowOff>42791</xdr:rowOff>
    </xdr:from>
    <xdr:ext cx="242631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asellaDiTesto 60">
              <a:extLst>
                <a:ext uri="{FF2B5EF4-FFF2-40B4-BE49-F238E27FC236}">
                  <a16:creationId xmlns:a16="http://schemas.microsoft.com/office/drawing/2014/main" id="{2CF83C98-56F6-45A2-5CC1-B6E3E1FE99D4}"/>
                </a:ext>
              </a:extLst>
            </xdr:cNvPr>
            <xdr:cNvSpPr txBox="1"/>
          </xdr:nvSpPr>
          <xdr:spPr>
            <a:xfrm>
              <a:off x="11160295" y="3837850"/>
              <a:ext cx="242631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𝐮</m:t>
                        </m:r>
                      </m:e>
                      <m:sub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𝐡𝐲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19" name="CasellaDiTesto 60">
              <a:extLst>
                <a:ext uri="{FF2B5EF4-FFF2-40B4-BE49-F238E27FC236}">
                  <a16:creationId xmlns:a16="http://schemas.microsoft.com/office/drawing/2014/main" id="{2CF83C98-56F6-45A2-5CC1-B6E3E1FE99D4}"/>
                </a:ext>
              </a:extLst>
            </xdr:cNvPr>
            <xdr:cNvSpPr txBox="1"/>
          </xdr:nvSpPr>
          <xdr:spPr>
            <a:xfrm>
              <a:off x="11160295" y="3837850"/>
              <a:ext cx="242631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latin typeface="Cambria Math" panose="02040503050406030204" pitchFamily="18" charset="0"/>
                </a:rPr>
                <a:t>𝐮_𝐡𝐲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45</xdr:col>
      <xdr:colOff>52651</xdr:colOff>
      <xdr:row>25</xdr:row>
      <xdr:rowOff>64878</xdr:rowOff>
    </xdr:from>
    <xdr:ext cx="24994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asellaDiTesto 60">
              <a:extLst>
                <a:ext uri="{FF2B5EF4-FFF2-40B4-BE49-F238E27FC236}">
                  <a16:creationId xmlns:a16="http://schemas.microsoft.com/office/drawing/2014/main" id="{AB7415D4-3408-942A-574D-DC67384F5C7F}"/>
                </a:ext>
              </a:extLst>
            </xdr:cNvPr>
            <xdr:cNvSpPr txBox="1"/>
          </xdr:nvSpPr>
          <xdr:spPr>
            <a:xfrm>
              <a:off x="14784651" y="3859937"/>
              <a:ext cx="24994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𝐮</m:t>
                        </m:r>
                      </m:e>
                      <m:sub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𝐡𝐡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20" name="CasellaDiTesto 60">
              <a:extLst>
                <a:ext uri="{FF2B5EF4-FFF2-40B4-BE49-F238E27FC236}">
                  <a16:creationId xmlns:a16="http://schemas.microsoft.com/office/drawing/2014/main" id="{AB7415D4-3408-942A-574D-DC67384F5C7F}"/>
                </a:ext>
              </a:extLst>
            </xdr:cNvPr>
            <xdr:cNvSpPr txBox="1"/>
          </xdr:nvSpPr>
          <xdr:spPr>
            <a:xfrm>
              <a:off x="14784651" y="3859937"/>
              <a:ext cx="24994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latin typeface="Cambria Math" panose="02040503050406030204" pitchFamily="18" charset="0"/>
                </a:rPr>
                <a:t>𝐮_𝐡𝐡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45</xdr:col>
      <xdr:colOff>58173</xdr:colOff>
      <xdr:row>22</xdr:row>
      <xdr:rowOff>28711</xdr:rowOff>
    </xdr:from>
    <xdr:ext cx="245901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CasellaDiTesto 60">
              <a:extLst>
                <a:ext uri="{FF2B5EF4-FFF2-40B4-BE49-F238E27FC236}">
                  <a16:creationId xmlns:a16="http://schemas.microsoft.com/office/drawing/2014/main" id="{9EEB8D07-B247-F683-C7EF-795C444AC50F}"/>
                </a:ext>
              </a:extLst>
            </xdr:cNvPr>
            <xdr:cNvSpPr txBox="1"/>
          </xdr:nvSpPr>
          <xdr:spPr>
            <a:xfrm>
              <a:off x="14790173" y="3330711"/>
              <a:ext cx="245901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𝐮</m:t>
                        </m:r>
                      </m:e>
                      <m:sub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𝐲𝐡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24" name="CasellaDiTesto 60">
              <a:extLst>
                <a:ext uri="{FF2B5EF4-FFF2-40B4-BE49-F238E27FC236}">
                  <a16:creationId xmlns:a16="http://schemas.microsoft.com/office/drawing/2014/main" id="{9EEB8D07-B247-F683-C7EF-795C444AC50F}"/>
                </a:ext>
              </a:extLst>
            </xdr:cNvPr>
            <xdr:cNvSpPr txBox="1"/>
          </xdr:nvSpPr>
          <xdr:spPr>
            <a:xfrm>
              <a:off x="14790173" y="3330711"/>
              <a:ext cx="245901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latin typeface="Cambria Math" panose="02040503050406030204" pitchFamily="18" charset="0"/>
                </a:rPr>
                <a:t>𝐮_𝐲𝐡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25</xdr:col>
      <xdr:colOff>65524</xdr:colOff>
      <xdr:row>42</xdr:row>
      <xdr:rowOff>138613</xdr:rowOff>
    </xdr:from>
    <xdr:ext cx="224292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asellaDiTesto 60">
              <a:extLst>
                <a:ext uri="{FF2B5EF4-FFF2-40B4-BE49-F238E27FC236}">
                  <a16:creationId xmlns:a16="http://schemas.microsoft.com/office/drawing/2014/main" id="{7A75477D-BFBE-8088-65CA-4195998F44B8}"/>
                </a:ext>
              </a:extLst>
            </xdr:cNvPr>
            <xdr:cNvSpPr txBox="1"/>
          </xdr:nvSpPr>
          <xdr:spPr>
            <a:xfrm>
              <a:off x="6729289" y="6727672"/>
              <a:ext cx="224292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𝐦</m:t>
                        </m:r>
                      </m:e>
                      <m:sub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𝐲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25" name="CasellaDiTesto 60">
              <a:extLst>
                <a:ext uri="{FF2B5EF4-FFF2-40B4-BE49-F238E27FC236}">
                  <a16:creationId xmlns:a16="http://schemas.microsoft.com/office/drawing/2014/main" id="{7A75477D-BFBE-8088-65CA-4195998F44B8}"/>
                </a:ext>
              </a:extLst>
            </xdr:cNvPr>
            <xdr:cNvSpPr txBox="1"/>
          </xdr:nvSpPr>
          <xdr:spPr>
            <a:xfrm>
              <a:off x="6729289" y="6727672"/>
              <a:ext cx="224292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latin typeface="Cambria Math" panose="02040503050406030204" pitchFamily="18" charset="0"/>
                </a:rPr>
                <a:t>𝐦_𝐲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29</xdr:col>
      <xdr:colOff>83041</xdr:colOff>
      <xdr:row>42</xdr:row>
      <xdr:rowOff>138613</xdr:rowOff>
    </xdr:from>
    <xdr:ext cx="2283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CasellaDiTesto 60">
              <a:extLst>
                <a:ext uri="{FF2B5EF4-FFF2-40B4-BE49-F238E27FC236}">
                  <a16:creationId xmlns:a16="http://schemas.microsoft.com/office/drawing/2014/main" id="{2ABEEF3F-1F95-6BE5-3BB7-F2E7E9809C16}"/>
                </a:ext>
              </a:extLst>
            </xdr:cNvPr>
            <xdr:cNvSpPr txBox="1"/>
          </xdr:nvSpPr>
          <xdr:spPr>
            <a:xfrm>
              <a:off x="8360453" y="6727672"/>
              <a:ext cx="2283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𝐦</m:t>
                        </m:r>
                      </m:e>
                      <m:sub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𝐡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26" name="CasellaDiTesto 60">
              <a:extLst>
                <a:ext uri="{FF2B5EF4-FFF2-40B4-BE49-F238E27FC236}">
                  <a16:creationId xmlns:a16="http://schemas.microsoft.com/office/drawing/2014/main" id="{2ABEEF3F-1F95-6BE5-3BB7-F2E7E9809C16}"/>
                </a:ext>
              </a:extLst>
            </xdr:cNvPr>
            <xdr:cNvSpPr txBox="1"/>
          </xdr:nvSpPr>
          <xdr:spPr>
            <a:xfrm>
              <a:off x="8360453" y="6727672"/>
              <a:ext cx="2283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latin typeface="Cambria Math" panose="02040503050406030204" pitchFamily="18" charset="0"/>
                </a:rPr>
                <a:t>𝐦_𝐡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23</xdr:col>
      <xdr:colOff>53365</xdr:colOff>
      <xdr:row>41</xdr:row>
      <xdr:rowOff>92468</xdr:rowOff>
    </xdr:from>
    <xdr:ext cx="1595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CasellaDiTesto 60">
              <a:extLst>
                <a:ext uri="{FF2B5EF4-FFF2-40B4-BE49-F238E27FC236}">
                  <a16:creationId xmlns:a16="http://schemas.microsoft.com/office/drawing/2014/main" id="{D149F2AE-BAC4-4744-D8FF-EE9F8060E208}"/>
                </a:ext>
              </a:extLst>
            </xdr:cNvPr>
            <xdr:cNvSpPr txBox="1"/>
          </xdr:nvSpPr>
          <xdr:spPr>
            <a:xfrm>
              <a:off x="5910306" y="6517174"/>
              <a:ext cx="1595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𝐦</m:t>
                    </m:r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27" name="CasellaDiTesto 60">
              <a:extLst>
                <a:ext uri="{FF2B5EF4-FFF2-40B4-BE49-F238E27FC236}">
                  <a16:creationId xmlns:a16="http://schemas.microsoft.com/office/drawing/2014/main" id="{D149F2AE-BAC4-4744-D8FF-EE9F8060E208}"/>
                </a:ext>
              </a:extLst>
            </xdr:cNvPr>
            <xdr:cNvSpPr txBox="1"/>
          </xdr:nvSpPr>
          <xdr:spPr>
            <a:xfrm>
              <a:off x="5910306" y="6517174"/>
              <a:ext cx="1595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𝐦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33</xdr:col>
      <xdr:colOff>313004</xdr:colOff>
      <xdr:row>37</xdr:row>
      <xdr:rowOff>71779</xdr:rowOff>
    </xdr:from>
    <xdr:ext cx="14978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CasellaDiTesto 60">
              <a:extLst>
                <a:ext uri="{FF2B5EF4-FFF2-40B4-BE49-F238E27FC236}">
                  <a16:creationId xmlns:a16="http://schemas.microsoft.com/office/drawing/2014/main" id="{8B61FAE2-6811-D293-7A92-A0850763259F}"/>
                </a:ext>
              </a:extLst>
            </xdr:cNvPr>
            <xdr:cNvSpPr txBox="1"/>
          </xdr:nvSpPr>
          <xdr:spPr>
            <a:xfrm>
              <a:off x="9915308" y="4886736"/>
              <a:ext cx="14978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200" b="1" i="1">
                        <a:latin typeface="Cambria Math" panose="02040503050406030204" pitchFamily="18" charset="0"/>
                      </a:rPr>
                      <m:t>−</m:t>
                    </m:r>
                  </m:oMath>
                </m:oMathPara>
              </a14:m>
              <a:endParaRPr lang="it-IT" sz="1200" b="1" i="0"/>
            </a:p>
          </xdr:txBody>
        </xdr:sp>
      </mc:Choice>
      <mc:Fallback xmlns="">
        <xdr:sp macro="" textlink="">
          <xdr:nvSpPr>
            <xdr:cNvPr id="31" name="CasellaDiTesto 60">
              <a:extLst>
                <a:ext uri="{FF2B5EF4-FFF2-40B4-BE49-F238E27FC236}">
                  <a16:creationId xmlns:a16="http://schemas.microsoft.com/office/drawing/2014/main" id="{8B61FAE2-6811-D293-7A92-A0850763259F}"/>
                </a:ext>
              </a:extLst>
            </xdr:cNvPr>
            <xdr:cNvSpPr txBox="1"/>
          </xdr:nvSpPr>
          <xdr:spPr>
            <a:xfrm>
              <a:off x="9915308" y="4886736"/>
              <a:ext cx="14978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200" b="1" i="0">
                  <a:latin typeface="Cambria Math" panose="02040503050406030204" pitchFamily="18" charset="0"/>
                </a:rPr>
                <a:t>−</a:t>
              </a:r>
              <a:endParaRPr lang="it-IT" sz="1200" b="1" i="0"/>
            </a:p>
          </xdr:txBody>
        </xdr:sp>
      </mc:Fallback>
    </mc:AlternateContent>
    <xdr:clientData/>
  </xdr:oneCellAnchor>
  <xdr:oneCellAnchor>
    <xdr:from>
      <xdr:col>41</xdr:col>
      <xdr:colOff>208091</xdr:colOff>
      <xdr:row>32</xdr:row>
      <xdr:rowOff>88344</xdr:rowOff>
    </xdr:from>
    <xdr:ext cx="14978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CasellaDiTesto 60">
              <a:extLst>
                <a:ext uri="{FF2B5EF4-FFF2-40B4-BE49-F238E27FC236}">
                  <a16:creationId xmlns:a16="http://schemas.microsoft.com/office/drawing/2014/main" id="{A9117F7F-C199-CA32-3BE9-E749BE0580EB}"/>
                </a:ext>
              </a:extLst>
            </xdr:cNvPr>
            <xdr:cNvSpPr txBox="1"/>
          </xdr:nvSpPr>
          <xdr:spPr>
            <a:xfrm>
              <a:off x="13388482" y="4075040"/>
              <a:ext cx="14978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200" b="1" i="1">
                        <a:latin typeface="Cambria Math" panose="02040503050406030204" pitchFamily="18" charset="0"/>
                      </a:rPr>
                      <m:t>−</m:t>
                    </m:r>
                  </m:oMath>
                </m:oMathPara>
              </a14:m>
              <a:endParaRPr lang="it-IT" sz="1200" b="1" i="0"/>
            </a:p>
          </xdr:txBody>
        </xdr:sp>
      </mc:Choice>
      <mc:Fallback xmlns="">
        <xdr:sp macro="" textlink="">
          <xdr:nvSpPr>
            <xdr:cNvPr id="32" name="CasellaDiTesto 60">
              <a:extLst>
                <a:ext uri="{FF2B5EF4-FFF2-40B4-BE49-F238E27FC236}">
                  <a16:creationId xmlns:a16="http://schemas.microsoft.com/office/drawing/2014/main" id="{A9117F7F-C199-CA32-3BE9-E749BE0580EB}"/>
                </a:ext>
              </a:extLst>
            </xdr:cNvPr>
            <xdr:cNvSpPr txBox="1"/>
          </xdr:nvSpPr>
          <xdr:spPr>
            <a:xfrm>
              <a:off x="13388482" y="4075040"/>
              <a:ext cx="14978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200" b="1" i="0">
                  <a:latin typeface="Cambria Math" panose="02040503050406030204" pitchFamily="18" charset="0"/>
                </a:rPr>
                <a:t>−</a:t>
              </a:r>
              <a:endParaRPr lang="it-IT" sz="1200" b="1" i="0"/>
            </a:p>
          </xdr:txBody>
        </xdr:sp>
      </mc:Fallback>
    </mc:AlternateContent>
    <xdr:clientData/>
  </xdr:oneCellAnchor>
  <xdr:oneCellAnchor>
    <xdr:from>
      <xdr:col>28</xdr:col>
      <xdr:colOff>4163</xdr:colOff>
      <xdr:row>32</xdr:row>
      <xdr:rowOff>66257</xdr:rowOff>
    </xdr:from>
    <xdr:ext cx="14978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CasellaDiTesto 60">
              <a:extLst>
                <a:ext uri="{FF2B5EF4-FFF2-40B4-BE49-F238E27FC236}">
                  <a16:creationId xmlns:a16="http://schemas.microsoft.com/office/drawing/2014/main" id="{A8D84F71-CDF6-0CFB-C977-1AB35EF96A63}"/>
                </a:ext>
              </a:extLst>
            </xdr:cNvPr>
            <xdr:cNvSpPr txBox="1"/>
          </xdr:nvSpPr>
          <xdr:spPr>
            <a:xfrm>
              <a:off x="7982072" y="5261712"/>
              <a:ext cx="14978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200" b="1" i="1">
                        <a:latin typeface="Cambria Math" panose="02040503050406030204" pitchFamily="18" charset="0"/>
                      </a:rPr>
                      <m:t>−</m:t>
                    </m:r>
                  </m:oMath>
                </m:oMathPara>
              </a14:m>
              <a:endParaRPr lang="it-IT" sz="1200" b="1" i="0"/>
            </a:p>
          </xdr:txBody>
        </xdr:sp>
      </mc:Choice>
      <mc:Fallback xmlns="">
        <xdr:sp macro="" textlink="">
          <xdr:nvSpPr>
            <xdr:cNvPr id="33" name="CasellaDiTesto 60">
              <a:extLst>
                <a:ext uri="{FF2B5EF4-FFF2-40B4-BE49-F238E27FC236}">
                  <a16:creationId xmlns:a16="http://schemas.microsoft.com/office/drawing/2014/main" id="{A8D84F71-CDF6-0CFB-C977-1AB35EF96A63}"/>
                </a:ext>
              </a:extLst>
            </xdr:cNvPr>
            <xdr:cNvSpPr txBox="1"/>
          </xdr:nvSpPr>
          <xdr:spPr>
            <a:xfrm>
              <a:off x="7982072" y="5261712"/>
              <a:ext cx="14978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200" b="1" i="0">
                  <a:latin typeface="Cambria Math" panose="02040503050406030204" pitchFamily="18" charset="0"/>
                </a:rPr>
                <a:t>−</a:t>
              </a:r>
              <a:endParaRPr lang="it-IT" sz="1200" b="1" i="0"/>
            </a:p>
          </xdr:txBody>
        </xdr:sp>
      </mc:Fallback>
    </mc:AlternateContent>
    <xdr:clientData/>
  </xdr:oneCellAnchor>
  <xdr:oneCellAnchor>
    <xdr:from>
      <xdr:col>24</xdr:col>
      <xdr:colOff>169438</xdr:colOff>
      <xdr:row>37</xdr:row>
      <xdr:rowOff>71779</xdr:rowOff>
    </xdr:from>
    <xdr:ext cx="14978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CasellaDiTesto 60">
              <a:extLst>
                <a:ext uri="{FF2B5EF4-FFF2-40B4-BE49-F238E27FC236}">
                  <a16:creationId xmlns:a16="http://schemas.microsoft.com/office/drawing/2014/main" id="{6001CD8C-B872-D2BE-817B-D5D3740DB00E}"/>
                </a:ext>
              </a:extLst>
            </xdr:cNvPr>
            <xdr:cNvSpPr txBox="1"/>
          </xdr:nvSpPr>
          <xdr:spPr>
            <a:xfrm>
              <a:off x="6530983" y="5434643"/>
              <a:ext cx="14978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200" b="1" i="1">
                        <a:latin typeface="Cambria Math" panose="02040503050406030204" pitchFamily="18" charset="0"/>
                      </a:rPr>
                      <m:t>−</m:t>
                    </m:r>
                  </m:oMath>
                </m:oMathPara>
              </a14:m>
              <a:endParaRPr lang="it-IT" sz="1200" b="1" i="0"/>
            </a:p>
          </xdr:txBody>
        </xdr:sp>
      </mc:Choice>
      <mc:Fallback xmlns="">
        <xdr:sp macro="" textlink="">
          <xdr:nvSpPr>
            <xdr:cNvPr id="34" name="CasellaDiTesto 60">
              <a:extLst>
                <a:ext uri="{FF2B5EF4-FFF2-40B4-BE49-F238E27FC236}">
                  <a16:creationId xmlns:a16="http://schemas.microsoft.com/office/drawing/2014/main" id="{6001CD8C-B872-D2BE-817B-D5D3740DB00E}"/>
                </a:ext>
              </a:extLst>
            </xdr:cNvPr>
            <xdr:cNvSpPr txBox="1"/>
          </xdr:nvSpPr>
          <xdr:spPr>
            <a:xfrm>
              <a:off x="6530983" y="5434643"/>
              <a:ext cx="14978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200" b="1" i="0">
                  <a:latin typeface="Cambria Math" panose="02040503050406030204" pitchFamily="18" charset="0"/>
                </a:rPr>
                <a:t>−</a:t>
              </a:r>
              <a:endParaRPr lang="it-IT" sz="1200" b="1" i="0"/>
            </a:p>
          </xdr:txBody>
        </xdr:sp>
      </mc:Fallback>
    </mc:AlternateContent>
    <xdr:clientData/>
  </xdr:oneCellAnchor>
  <xdr:oneCellAnchor>
    <xdr:from>
      <xdr:col>52</xdr:col>
      <xdr:colOff>54215</xdr:colOff>
      <xdr:row>44</xdr:row>
      <xdr:rowOff>29696</xdr:rowOff>
    </xdr:from>
    <xdr:ext cx="2292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CasellaDiTesto 60">
              <a:extLst>
                <a:ext uri="{FF2B5EF4-FFF2-40B4-BE49-F238E27FC236}">
                  <a16:creationId xmlns:a16="http://schemas.microsoft.com/office/drawing/2014/main" id="{E50C2F0E-A8E0-42CE-FCD6-D5D836B86E6E}"/>
                </a:ext>
              </a:extLst>
            </xdr:cNvPr>
            <xdr:cNvSpPr txBox="1"/>
          </xdr:nvSpPr>
          <xdr:spPr>
            <a:xfrm>
              <a:off x="25155391" y="7660902"/>
              <a:ext cx="2292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𝑝</m:t>
                    </m:r>
                    <m:sSub>
                      <m:sSubPr>
                        <m:ctrlPr>
                          <a:rPr lang="it-IT" sz="11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it-IT" sz="11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</m:sSub>
                  </m:oMath>
                </m:oMathPara>
              </a14:m>
              <a:endParaRPr lang="it-IT" sz="1100" b="0" i="1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76" name="CasellaDiTesto 60">
              <a:extLst>
                <a:ext uri="{FF2B5EF4-FFF2-40B4-BE49-F238E27FC236}">
                  <a16:creationId xmlns:a16="http://schemas.microsoft.com/office/drawing/2014/main" id="{E50C2F0E-A8E0-42CE-FCD6-D5D836B86E6E}"/>
                </a:ext>
              </a:extLst>
            </xdr:cNvPr>
            <xdr:cNvSpPr txBox="1"/>
          </xdr:nvSpPr>
          <xdr:spPr>
            <a:xfrm>
              <a:off x="25155391" y="7660902"/>
              <a:ext cx="2292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𝑝𝑙_ℎ</a:t>
              </a:r>
              <a:endParaRPr lang="it-IT" sz="1100" b="0" i="1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49</xdr:col>
      <xdr:colOff>118916</xdr:colOff>
      <xdr:row>61</xdr:row>
      <xdr:rowOff>28711</xdr:rowOff>
    </xdr:from>
    <xdr:ext cx="180178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sellaDiTesto 60">
              <a:extLst>
                <a:ext uri="{FF2B5EF4-FFF2-40B4-BE49-F238E27FC236}">
                  <a16:creationId xmlns:a16="http://schemas.microsoft.com/office/drawing/2014/main" id="{F52C2A42-9AB6-487E-A9AD-F5EC3358CA2A}"/>
                </a:ext>
              </a:extLst>
            </xdr:cNvPr>
            <xdr:cNvSpPr txBox="1"/>
          </xdr:nvSpPr>
          <xdr:spPr>
            <a:xfrm>
              <a:off x="16464563" y="9411770"/>
              <a:ext cx="180178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𝐄</m:t>
                        </m:r>
                      </m:e>
                      <m:sub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𝐲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5" name="CasellaDiTesto 60">
              <a:extLst>
                <a:ext uri="{FF2B5EF4-FFF2-40B4-BE49-F238E27FC236}">
                  <a16:creationId xmlns:a16="http://schemas.microsoft.com/office/drawing/2014/main" id="{F52C2A42-9AB6-487E-A9AD-F5EC3358CA2A}"/>
                </a:ext>
              </a:extLst>
            </xdr:cNvPr>
            <xdr:cNvSpPr txBox="1"/>
          </xdr:nvSpPr>
          <xdr:spPr>
            <a:xfrm>
              <a:off x="16464563" y="9411770"/>
              <a:ext cx="180178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latin typeface="Cambria Math" panose="02040503050406030204" pitchFamily="18" charset="0"/>
                </a:rPr>
                <a:t>𝐄_𝐲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49</xdr:col>
      <xdr:colOff>113394</xdr:colOff>
      <xdr:row>64</xdr:row>
      <xdr:rowOff>45276</xdr:rowOff>
    </xdr:from>
    <xdr:ext cx="18421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asellaDiTesto 60">
              <a:extLst>
                <a:ext uri="{FF2B5EF4-FFF2-40B4-BE49-F238E27FC236}">
                  <a16:creationId xmlns:a16="http://schemas.microsoft.com/office/drawing/2014/main" id="{AFEBF96A-2979-49B2-B98D-9F3AC06D9F16}"/>
                </a:ext>
              </a:extLst>
            </xdr:cNvPr>
            <xdr:cNvSpPr txBox="1"/>
          </xdr:nvSpPr>
          <xdr:spPr>
            <a:xfrm>
              <a:off x="16459041" y="9921394"/>
              <a:ext cx="1842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𝐄</m:t>
                        </m:r>
                      </m:e>
                      <m:sub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𝐡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12" name="CasellaDiTesto 60">
              <a:extLst>
                <a:ext uri="{FF2B5EF4-FFF2-40B4-BE49-F238E27FC236}">
                  <a16:creationId xmlns:a16="http://schemas.microsoft.com/office/drawing/2014/main" id="{AFEBF96A-2979-49B2-B98D-9F3AC06D9F16}"/>
                </a:ext>
              </a:extLst>
            </xdr:cNvPr>
            <xdr:cNvSpPr txBox="1"/>
          </xdr:nvSpPr>
          <xdr:spPr>
            <a:xfrm>
              <a:off x="16459041" y="9921394"/>
              <a:ext cx="1842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latin typeface="Cambria Math" panose="02040503050406030204" pitchFamily="18" charset="0"/>
                </a:rPr>
                <a:t>𝐄_𝐡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31</xdr:col>
      <xdr:colOff>33827</xdr:colOff>
      <xdr:row>20</xdr:row>
      <xdr:rowOff>91830</xdr:rowOff>
    </xdr:from>
    <xdr:ext cx="11817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asellaDiTesto 60">
              <a:extLst>
                <a:ext uri="{FF2B5EF4-FFF2-40B4-BE49-F238E27FC236}">
                  <a16:creationId xmlns:a16="http://schemas.microsoft.com/office/drawing/2014/main" id="{EF62FC17-39EA-49DD-96F5-C0A4783FFB08}"/>
                </a:ext>
              </a:extLst>
            </xdr:cNvPr>
            <xdr:cNvSpPr txBox="1"/>
          </xdr:nvSpPr>
          <xdr:spPr>
            <a:xfrm>
              <a:off x="9118062" y="3065124"/>
              <a:ext cx="1181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𝐮</m:t>
                    </m:r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14" name="CasellaDiTesto 60">
              <a:extLst>
                <a:ext uri="{FF2B5EF4-FFF2-40B4-BE49-F238E27FC236}">
                  <a16:creationId xmlns:a16="http://schemas.microsoft.com/office/drawing/2014/main" id="{EF62FC17-39EA-49DD-96F5-C0A4783FFB08}"/>
                </a:ext>
              </a:extLst>
            </xdr:cNvPr>
            <xdr:cNvSpPr txBox="1"/>
          </xdr:nvSpPr>
          <xdr:spPr>
            <a:xfrm>
              <a:off x="9118062" y="3065124"/>
              <a:ext cx="1181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𝐮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47</xdr:col>
      <xdr:colOff>38849</xdr:colOff>
      <xdr:row>56</xdr:row>
      <xdr:rowOff>120372</xdr:rowOff>
    </xdr:from>
    <xdr:ext cx="1866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asellaDiTesto 60">
              <a:extLst>
                <a:ext uri="{FF2B5EF4-FFF2-40B4-BE49-F238E27FC236}">
                  <a16:creationId xmlns:a16="http://schemas.microsoft.com/office/drawing/2014/main" id="{8CC31CD0-7654-A6D3-0A2D-AE803DA00888}"/>
                </a:ext>
              </a:extLst>
            </xdr:cNvPr>
            <xdr:cNvSpPr txBox="1"/>
          </xdr:nvSpPr>
          <xdr:spPr>
            <a:xfrm>
              <a:off x="15577673" y="8681666"/>
              <a:ext cx="186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𝐗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𝐞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3" name="CasellaDiTesto 60">
              <a:extLst>
                <a:ext uri="{FF2B5EF4-FFF2-40B4-BE49-F238E27FC236}">
                  <a16:creationId xmlns:a16="http://schemas.microsoft.com/office/drawing/2014/main" id="{8CC31CD0-7654-A6D3-0A2D-AE803DA00888}"/>
                </a:ext>
              </a:extLst>
            </xdr:cNvPr>
            <xdr:cNvSpPr txBox="1"/>
          </xdr:nvSpPr>
          <xdr:spPr>
            <a:xfrm>
              <a:off x="15577673" y="8681666"/>
              <a:ext cx="186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𝐗_𝐞</a:t>
              </a:r>
              <a:endParaRPr lang="it-IT" sz="11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47</xdr:col>
      <xdr:colOff>15934</xdr:colOff>
      <xdr:row>59</xdr:row>
      <xdr:rowOff>87103</xdr:rowOff>
    </xdr:from>
    <xdr:ext cx="19896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asellaDiTesto 60">
              <a:extLst>
                <a:ext uri="{FF2B5EF4-FFF2-40B4-BE49-F238E27FC236}">
                  <a16:creationId xmlns:a16="http://schemas.microsoft.com/office/drawing/2014/main" id="{5F31C80B-446B-9ADF-246F-1132C6C370AC}"/>
                </a:ext>
              </a:extLst>
            </xdr:cNvPr>
            <xdr:cNvSpPr txBox="1"/>
          </xdr:nvSpPr>
          <xdr:spPr>
            <a:xfrm>
              <a:off x="21460791" y="9788996"/>
              <a:ext cx="19896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𝐄𝐄</m:t>
                    </m:r>
                  </m:oMath>
                </m:oMathPara>
              </a14:m>
              <a:endParaRPr lang="it-IT" sz="11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5" name="CasellaDiTesto 60">
              <a:extLst>
                <a:ext uri="{FF2B5EF4-FFF2-40B4-BE49-F238E27FC236}">
                  <a16:creationId xmlns:a16="http://schemas.microsoft.com/office/drawing/2014/main" id="{5F31C80B-446B-9ADF-246F-1132C6C370AC}"/>
                </a:ext>
              </a:extLst>
            </xdr:cNvPr>
            <xdr:cNvSpPr txBox="1"/>
          </xdr:nvSpPr>
          <xdr:spPr>
            <a:xfrm>
              <a:off x="21460791" y="9788996"/>
              <a:ext cx="19896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𝐄𝐄</a:t>
              </a:r>
              <a:endParaRPr lang="it-IT" sz="11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47</xdr:col>
      <xdr:colOff>32499</xdr:colOff>
      <xdr:row>20</xdr:row>
      <xdr:rowOff>96628</xdr:rowOff>
    </xdr:from>
    <xdr:ext cx="10881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asellaDiTesto 60">
              <a:extLst>
                <a:ext uri="{FF2B5EF4-FFF2-40B4-BE49-F238E27FC236}">
                  <a16:creationId xmlns:a16="http://schemas.microsoft.com/office/drawing/2014/main" id="{3B64EB93-4F0F-4E68-BF7A-A830AFBB1C5B}"/>
                </a:ext>
              </a:extLst>
            </xdr:cNvPr>
            <xdr:cNvSpPr txBox="1"/>
          </xdr:nvSpPr>
          <xdr:spPr>
            <a:xfrm>
              <a:off x="15571323" y="3069922"/>
              <a:ext cx="10881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𝐞</m:t>
                    </m:r>
                  </m:oMath>
                </m:oMathPara>
              </a14:m>
              <a:endParaRPr lang="it-IT" sz="11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6" name="CasellaDiTesto 60">
              <a:extLst>
                <a:ext uri="{FF2B5EF4-FFF2-40B4-BE49-F238E27FC236}">
                  <a16:creationId xmlns:a16="http://schemas.microsoft.com/office/drawing/2014/main" id="{3B64EB93-4F0F-4E68-BF7A-A830AFBB1C5B}"/>
                </a:ext>
              </a:extLst>
            </xdr:cNvPr>
            <xdr:cNvSpPr txBox="1"/>
          </xdr:nvSpPr>
          <xdr:spPr>
            <a:xfrm>
              <a:off x="15571323" y="3069922"/>
              <a:ext cx="10881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𝐞</a:t>
              </a:r>
              <a:endParaRPr lang="it-IT" sz="11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49</xdr:col>
      <xdr:colOff>107872</xdr:colOff>
      <xdr:row>22</xdr:row>
      <xdr:rowOff>23190</xdr:rowOff>
    </xdr:from>
    <xdr:ext cx="173573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asellaDiTesto 60">
              <a:extLst>
                <a:ext uri="{FF2B5EF4-FFF2-40B4-BE49-F238E27FC236}">
                  <a16:creationId xmlns:a16="http://schemas.microsoft.com/office/drawing/2014/main" id="{4E892D8C-0248-5025-A83C-8DBFBAF805AA}"/>
                </a:ext>
              </a:extLst>
            </xdr:cNvPr>
            <xdr:cNvSpPr txBox="1"/>
          </xdr:nvSpPr>
          <xdr:spPr>
            <a:xfrm>
              <a:off x="16453519" y="3325190"/>
              <a:ext cx="173573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𝐞</m:t>
                        </m:r>
                      </m:e>
                      <m:sub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𝐲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17" name="CasellaDiTesto 60">
              <a:extLst>
                <a:ext uri="{FF2B5EF4-FFF2-40B4-BE49-F238E27FC236}">
                  <a16:creationId xmlns:a16="http://schemas.microsoft.com/office/drawing/2014/main" id="{4E892D8C-0248-5025-A83C-8DBFBAF805AA}"/>
                </a:ext>
              </a:extLst>
            </xdr:cNvPr>
            <xdr:cNvSpPr txBox="1"/>
          </xdr:nvSpPr>
          <xdr:spPr>
            <a:xfrm>
              <a:off x="16453519" y="3325190"/>
              <a:ext cx="173573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latin typeface="Cambria Math" panose="02040503050406030204" pitchFamily="18" charset="0"/>
                </a:rPr>
                <a:t>𝐞_𝐲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49</xdr:col>
      <xdr:colOff>107872</xdr:colOff>
      <xdr:row>25</xdr:row>
      <xdr:rowOff>56320</xdr:rowOff>
    </xdr:from>
    <xdr:ext cx="17761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asellaDiTesto 60">
              <a:extLst>
                <a:ext uri="{FF2B5EF4-FFF2-40B4-BE49-F238E27FC236}">
                  <a16:creationId xmlns:a16="http://schemas.microsoft.com/office/drawing/2014/main" id="{774C610E-7A9C-8D66-79F8-8F67B0564702}"/>
                </a:ext>
              </a:extLst>
            </xdr:cNvPr>
            <xdr:cNvSpPr txBox="1"/>
          </xdr:nvSpPr>
          <xdr:spPr>
            <a:xfrm>
              <a:off x="16453519" y="3851379"/>
              <a:ext cx="17761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𝐞</m:t>
                        </m:r>
                      </m:e>
                      <m:sub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𝐡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18" name="CasellaDiTesto 60">
              <a:extLst>
                <a:ext uri="{FF2B5EF4-FFF2-40B4-BE49-F238E27FC236}">
                  <a16:creationId xmlns:a16="http://schemas.microsoft.com/office/drawing/2014/main" id="{774C610E-7A9C-8D66-79F8-8F67B0564702}"/>
                </a:ext>
              </a:extLst>
            </xdr:cNvPr>
            <xdr:cNvSpPr txBox="1"/>
          </xdr:nvSpPr>
          <xdr:spPr>
            <a:xfrm>
              <a:off x="16453519" y="3851379"/>
              <a:ext cx="17761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latin typeface="Cambria Math" panose="02040503050406030204" pitchFamily="18" charset="0"/>
                </a:rPr>
                <a:t>𝐞_𝐡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45</xdr:col>
      <xdr:colOff>118574</xdr:colOff>
      <xdr:row>49</xdr:row>
      <xdr:rowOff>97767</xdr:rowOff>
    </xdr:from>
    <xdr:ext cx="608022" cy="25262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7" name="CasellaDiTesto 60">
              <a:extLst>
                <a:ext uri="{FF2B5EF4-FFF2-40B4-BE49-F238E27FC236}">
                  <a16:creationId xmlns:a16="http://schemas.microsoft.com/office/drawing/2014/main" id="{A435D6F6-F9DF-4312-A865-26CDC1E68BE6}"/>
                </a:ext>
              </a:extLst>
            </xdr:cNvPr>
            <xdr:cNvSpPr txBox="1"/>
          </xdr:nvSpPr>
          <xdr:spPr>
            <a:xfrm>
              <a:off x="21917750" y="8875708"/>
              <a:ext cx="608022" cy="2526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𝐄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𝐡𝐢𝐬𝐭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𝐞𝐱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36" name="CasellaDiTesto 60">
              <a:extLst>
                <a:ext uri="{FF2B5EF4-FFF2-40B4-BE49-F238E27FC236}">
                  <a16:creationId xmlns:a16="http://schemas.microsoft.com/office/drawing/2014/main" id="{A435D6F6-F9DF-4312-A865-26CDC1E68BE6}"/>
                </a:ext>
              </a:extLst>
            </xdr:cNvPr>
            <xdr:cNvSpPr txBox="1"/>
          </xdr:nvSpPr>
          <xdr:spPr>
            <a:xfrm>
              <a:off x="21917750" y="8875708"/>
              <a:ext cx="608022" cy="2526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𝐄_(𝐡𝐢𝐬𝐭,𝐞𝐱)</a:t>
              </a:r>
              <a:endParaRPr lang="it-IT" sz="11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47</xdr:col>
      <xdr:colOff>256325</xdr:colOff>
      <xdr:row>59</xdr:row>
      <xdr:rowOff>81167</xdr:rowOff>
    </xdr:from>
    <xdr:ext cx="30604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sellaDiTesto 60">
              <a:extLst>
                <a:ext uri="{FF2B5EF4-FFF2-40B4-BE49-F238E27FC236}">
                  <a16:creationId xmlns:a16="http://schemas.microsoft.com/office/drawing/2014/main" id="{6D6CEEA3-298B-9403-9795-92AF7BB2AB02}"/>
                </a:ext>
              </a:extLst>
            </xdr:cNvPr>
            <xdr:cNvSpPr txBox="1"/>
          </xdr:nvSpPr>
          <xdr:spPr>
            <a:xfrm>
              <a:off x="15795149" y="9135520"/>
              <a:ext cx="30604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𝐄</m:t>
                        </m:r>
                      </m:e>
                      <m:sub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𝐡𝐢𝐬𝐭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4" name="CasellaDiTesto 60">
              <a:extLst>
                <a:ext uri="{FF2B5EF4-FFF2-40B4-BE49-F238E27FC236}">
                  <a16:creationId xmlns:a16="http://schemas.microsoft.com/office/drawing/2014/main" id="{6D6CEEA3-298B-9403-9795-92AF7BB2AB02}"/>
                </a:ext>
              </a:extLst>
            </xdr:cNvPr>
            <xdr:cNvSpPr txBox="1"/>
          </xdr:nvSpPr>
          <xdr:spPr>
            <a:xfrm>
              <a:off x="15795149" y="9135520"/>
              <a:ext cx="30604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latin typeface="Cambria Math" panose="02040503050406030204" pitchFamily="18" charset="0"/>
                </a:rPr>
                <a:t>𝐄_𝐡𝐢𝐬𝐭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54</xdr:col>
      <xdr:colOff>71682</xdr:colOff>
      <xdr:row>62</xdr:row>
      <xdr:rowOff>38374</xdr:rowOff>
    </xdr:from>
    <xdr:ext cx="1672574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CasellaDiTesto 60">
              <a:extLst>
                <a:ext uri="{FF2B5EF4-FFF2-40B4-BE49-F238E27FC236}">
                  <a16:creationId xmlns:a16="http://schemas.microsoft.com/office/drawing/2014/main" id="{3B4E947F-1B8C-50F6-6472-953687152DF2}"/>
                </a:ext>
              </a:extLst>
            </xdr:cNvPr>
            <xdr:cNvSpPr txBox="1"/>
          </xdr:nvSpPr>
          <xdr:spPr>
            <a:xfrm>
              <a:off x="18602639" y="9657244"/>
              <a:ext cx="1672574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it-IT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0: </m:t>
                  </m:r>
                  <m:r>
                    <m:rPr>
                      <m:sty m:val="p"/>
                    </m:rPr>
                    <a:rPr lang="it-IT" sz="11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y</m:t>
                  </m:r>
                  <m:r>
                    <a:rPr lang="it-IT" sz="11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∈</m:t>
                  </m:r>
                  <m:r>
                    <a:rPr lang="it-IT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h𝑖𝑠𝑡</m:t>
                  </m:r>
                  <m:r>
                    <a:rPr lang="it-IT" sz="11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: </m:t>
                  </m:r>
                  <m:sSub>
                    <m:sSubPr>
                      <m:ctrlPr>
                        <a:rPr lang="it-IT" sz="1100" b="1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it-IT" sz="1100" b="1" i="0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𝐄</m:t>
                      </m:r>
                    </m:e>
                    <m:sub>
                      <m:r>
                        <a:rPr lang="it-IT" sz="1100" b="1" i="0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𝐡𝐢𝐬𝐭</m:t>
                      </m:r>
                    </m:sub>
                  </m:sSub>
                  <m:r>
                    <a:rPr lang="it-IT" sz="1100" b="1" i="1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𝐄</m:t>
                      </m:r>
                    </m:e>
                    <m: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𝐡𝐢𝐬𝐭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𝐞𝐱</m:t>
                      </m:r>
                    </m:sub>
                  </m:sSub>
                  <m:r>
                    <a:rPr lang="it-IT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</m:oMath>
              </a14:m>
              <a:r>
                <a:rPr lang="it-IT" sz="1100" b="1" i="0"/>
                <a:t> </a:t>
              </a:r>
            </a:p>
          </xdr:txBody>
        </xdr:sp>
      </mc:Choice>
      <mc:Fallback xmlns="">
        <xdr:sp macro="" textlink="">
          <xdr:nvSpPr>
            <xdr:cNvPr id="23" name="CasellaDiTesto 60">
              <a:extLst>
                <a:ext uri="{FF2B5EF4-FFF2-40B4-BE49-F238E27FC236}">
                  <a16:creationId xmlns:a16="http://schemas.microsoft.com/office/drawing/2014/main" id="{3B4E947F-1B8C-50F6-6472-953687152DF2}"/>
                </a:ext>
              </a:extLst>
            </xdr:cNvPr>
            <xdr:cNvSpPr txBox="1"/>
          </xdr:nvSpPr>
          <xdr:spPr>
            <a:xfrm>
              <a:off x="18602639" y="9657244"/>
              <a:ext cx="1672574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0: </a:t>
              </a:r>
              <a:r>
                <a:rPr lang="it-IT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y∈</a:t>
              </a:r>
              <a:r>
                <a:rPr lang="it-I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ℎ𝑖𝑠𝑡</a:t>
              </a:r>
              <a:r>
                <a:rPr lang="it-IT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: </a:t>
              </a:r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𝐄_𝐡𝐢𝐬𝐭</a:t>
              </a:r>
              <a:r>
                <a:rPr lang="it-IT" sz="1100" b="1" i="0">
                  <a:latin typeface="Cambria Math" panose="02040503050406030204" pitchFamily="18" charset="0"/>
                </a:rPr>
                <a:t>=</a:t>
              </a:r>
              <a:r>
                <a:rPr lang="it-IT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𝐄_(𝐡𝐢𝐬𝐭,𝐞𝐱)  </a:t>
              </a:r>
              <a:r>
                <a:rPr lang="it-IT" sz="1100" b="1" i="0"/>
                <a:t> </a:t>
              </a:r>
            </a:p>
          </xdr:txBody>
        </xdr:sp>
      </mc:Fallback>
    </mc:AlternateContent>
    <xdr:clientData/>
  </xdr:oneCellAnchor>
  <xdr:oneCellAnchor>
    <xdr:from>
      <xdr:col>54</xdr:col>
      <xdr:colOff>71682</xdr:colOff>
      <xdr:row>65</xdr:row>
      <xdr:rowOff>56935</xdr:rowOff>
    </xdr:from>
    <xdr:ext cx="1649491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CasellaDiTesto 60">
              <a:extLst>
                <a:ext uri="{FF2B5EF4-FFF2-40B4-BE49-F238E27FC236}">
                  <a16:creationId xmlns:a16="http://schemas.microsoft.com/office/drawing/2014/main" id="{A86199B0-7684-5711-E9B0-748EF75CE3B2}"/>
                </a:ext>
              </a:extLst>
            </xdr:cNvPr>
            <xdr:cNvSpPr txBox="1"/>
          </xdr:nvSpPr>
          <xdr:spPr>
            <a:xfrm>
              <a:off x="18856639" y="10172761"/>
              <a:ext cx="1649491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it-IT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0: </m:t>
                  </m:r>
                  <m:r>
                    <m:rPr>
                      <m:sty m:val="p"/>
                    </m:rPr>
                    <a:rPr lang="it-IT" sz="11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y</m:t>
                  </m:r>
                  <m:r>
                    <a:rPr lang="it-IT" sz="11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∈</m:t>
                  </m:r>
                  <m:r>
                    <a:rPr lang="it-IT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𝑚𝑜𝑑</m:t>
                  </m:r>
                  <m:r>
                    <a:rPr lang="it-IT" sz="11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:</m:t>
                  </m:r>
                  <m:r>
                    <a:rPr lang="it-IT" sz="1100" b="1" i="0">
                      <a:solidFill>
                        <a:srgbClr val="FF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𝐄</m:t>
                  </m:r>
                  <m:r>
                    <a:rPr lang="it-IT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it-IT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𝐞</m:t>
                  </m:r>
                  <m:r>
                    <a:rPr lang="it-IT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∙</m:t>
                  </m:r>
                  <m:sSub>
                    <m:sSubPr>
                      <m:ctrlP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𝐗</m:t>
                      </m:r>
                    </m:e>
                    <m: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𝐞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𝐦𝐨𝐝</m:t>
                      </m:r>
                    </m:sub>
                  </m:sSub>
                  <m:r>
                    <a:rPr lang="it-IT" sz="11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</m:oMath>
              </a14:m>
              <a:r>
                <a:rPr lang="it-IT" sz="1100" b="1" i="0"/>
                <a:t> </a:t>
              </a:r>
            </a:p>
          </xdr:txBody>
        </xdr:sp>
      </mc:Choice>
      <mc:Fallback xmlns="">
        <xdr:sp macro="" textlink="">
          <xdr:nvSpPr>
            <xdr:cNvPr id="28" name="CasellaDiTesto 60">
              <a:extLst>
                <a:ext uri="{FF2B5EF4-FFF2-40B4-BE49-F238E27FC236}">
                  <a16:creationId xmlns:a16="http://schemas.microsoft.com/office/drawing/2014/main" id="{A86199B0-7684-5711-E9B0-748EF75CE3B2}"/>
                </a:ext>
              </a:extLst>
            </xdr:cNvPr>
            <xdr:cNvSpPr txBox="1"/>
          </xdr:nvSpPr>
          <xdr:spPr>
            <a:xfrm>
              <a:off x="18856639" y="10172761"/>
              <a:ext cx="1649491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t-I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0: </a:t>
              </a:r>
              <a:r>
                <a:rPr lang="it-IT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y∈</a:t>
              </a:r>
              <a:r>
                <a:rPr lang="it-IT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𝑚𝑜𝑑</a:t>
              </a:r>
              <a:r>
                <a:rPr lang="it-IT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:</a:t>
              </a:r>
              <a:r>
                <a:rPr lang="it-IT" sz="11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𝐄</a:t>
              </a:r>
              <a:r>
                <a:rPr lang="it-IT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=𝐞</a:t>
              </a:r>
              <a:r>
                <a:rPr lang="it-IT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∙</a:t>
              </a:r>
              <a:r>
                <a:rPr lang="it-IT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𝐗_(𝐞,𝐦𝐨𝐝)</a:t>
              </a:r>
              <a:r>
                <a:rPr lang="it-IT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</a:t>
              </a:r>
              <a:r>
                <a:rPr lang="it-IT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it-IT" sz="1100" b="1" i="0"/>
                <a:t> </a:t>
              </a:r>
            </a:p>
          </xdr:txBody>
        </xdr:sp>
      </mc:Fallback>
    </mc:AlternateContent>
    <xdr:clientData/>
  </xdr:oneCellAnchor>
  <xdr:oneCellAnchor>
    <xdr:from>
      <xdr:col>48</xdr:col>
      <xdr:colOff>242106</xdr:colOff>
      <xdr:row>59</xdr:row>
      <xdr:rowOff>76060</xdr:rowOff>
    </xdr:from>
    <xdr:ext cx="11541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CasellaDiTesto 60">
              <a:extLst>
                <a:ext uri="{FF2B5EF4-FFF2-40B4-BE49-F238E27FC236}">
                  <a16:creationId xmlns:a16="http://schemas.microsoft.com/office/drawing/2014/main" id="{F88102E9-7FD1-E4B1-D278-D0883F4F2EC6}"/>
                </a:ext>
              </a:extLst>
            </xdr:cNvPr>
            <xdr:cNvSpPr txBox="1"/>
          </xdr:nvSpPr>
          <xdr:spPr>
            <a:xfrm>
              <a:off x="22489193" y="10429321"/>
              <a:ext cx="1154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latin typeface="Cambria Math" panose="02040503050406030204" pitchFamily="18" charset="0"/>
                      </a:rPr>
                      <m:t>𝐄</m:t>
                    </m:r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30" name="CasellaDiTesto 60">
              <a:extLst>
                <a:ext uri="{FF2B5EF4-FFF2-40B4-BE49-F238E27FC236}">
                  <a16:creationId xmlns:a16="http://schemas.microsoft.com/office/drawing/2014/main" id="{F88102E9-7FD1-E4B1-D278-D0883F4F2EC6}"/>
                </a:ext>
              </a:extLst>
            </xdr:cNvPr>
            <xdr:cNvSpPr txBox="1"/>
          </xdr:nvSpPr>
          <xdr:spPr>
            <a:xfrm>
              <a:off x="22489193" y="10429321"/>
              <a:ext cx="1154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latin typeface="Cambria Math" panose="02040503050406030204" pitchFamily="18" charset="0"/>
                </a:rPr>
                <a:t>𝐄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31</xdr:col>
      <xdr:colOff>78765</xdr:colOff>
      <xdr:row>73</xdr:row>
      <xdr:rowOff>111518</xdr:rowOff>
    </xdr:from>
    <xdr:ext cx="21313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CasellaDiTesto 60">
              <a:extLst>
                <a:ext uri="{FF2B5EF4-FFF2-40B4-BE49-F238E27FC236}">
                  <a16:creationId xmlns:a16="http://schemas.microsoft.com/office/drawing/2014/main" id="{7262A3E5-2FB8-8BAB-5254-203FFE80918D}"/>
                </a:ext>
              </a:extLst>
            </xdr:cNvPr>
            <xdr:cNvSpPr txBox="1"/>
          </xdr:nvSpPr>
          <xdr:spPr>
            <a:xfrm>
              <a:off x="14993794" y="11664783"/>
              <a:ext cx="2131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𝐮𝐞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35" name="CasellaDiTesto 60">
              <a:extLst>
                <a:ext uri="{FF2B5EF4-FFF2-40B4-BE49-F238E27FC236}">
                  <a16:creationId xmlns:a16="http://schemas.microsoft.com/office/drawing/2014/main" id="{7262A3E5-2FB8-8BAB-5254-203FFE80918D}"/>
                </a:ext>
              </a:extLst>
            </xdr:cNvPr>
            <xdr:cNvSpPr txBox="1"/>
          </xdr:nvSpPr>
          <xdr:spPr>
            <a:xfrm>
              <a:off x="14993794" y="11664783"/>
              <a:ext cx="2131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𝐫_𝐮𝐞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31</xdr:col>
      <xdr:colOff>368845</xdr:colOff>
      <xdr:row>73</xdr:row>
      <xdr:rowOff>107188</xdr:rowOff>
    </xdr:from>
    <xdr:ext cx="15658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CasellaDiTesto 60">
              <a:extLst>
                <a:ext uri="{FF2B5EF4-FFF2-40B4-BE49-F238E27FC236}">
                  <a16:creationId xmlns:a16="http://schemas.microsoft.com/office/drawing/2014/main" id="{3D4DD466-AA29-F3BD-FE73-24431E917AE7}"/>
                </a:ext>
              </a:extLst>
            </xdr:cNvPr>
            <xdr:cNvSpPr txBox="1"/>
          </xdr:nvSpPr>
          <xdr:spPr>
            <a:xfrm>
              <a:off x="15283874" y="11660453"/>
              <a:ext cx="1565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𝐮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37" name="CasellaDiTesto 60">
              <a:extLst>
                <a:ext uri="{FF2B5EF4-FFF2-40B4-BE49-F238E27FC236}">
                  <a16:creationId xmlns:a16="http://schemas.microsoft.com/office/drawing/2014/main" id="{3D4DD466-AA29-F3BD-FE73-24431E917AE7}"/>
                </a:ext>
              </a:extLst>
            </xdr:cNvPr>
            <xdr:cNvSpPr txBox="1"/>
          </xdr:nvSpPr>
          <xdr:spPr>
            <a:xfrm>
              <a:off x="15283874" y="11660453"/>
              <a:ext cx="1565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𝐫_𝐮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48</xdr:col>
      <xdr:colOff>193734</xdr:colOff>
      <xdr:row>49</xdr:row>
      <xdr:rowOff>77578</xdr:rowOff>
    </xdr:from>
    <xdr:ext cx="608022" cy="25262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4" name="CasellaDiTesto 60">
              <a:extLst>
                <a:ext uri="{FF2B5EF4-FFF2-40B4-BE49-F238E27FC236}">
                  <a16:creationId xmlns:a16="http://schemas.microsoft.com/office/drawing/2014/main" id="{EAE9A95A-B0ED-7C19-8BBD-7A238E0AEF5C}"/>
                </a:ext>
              </a:extLst>
            </xdr:cNvPr>
            <xdr:cNvSpPr txBox="1"/>
          </xdr:nvSpPr>
          <xdr:spPr>
            <a:xfrm>
              <a:off x="17573684" y="8015078"/>
              <a:ext cx="608022" cy="2526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𝐄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𝐡𝐢𝐬𝐭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𝐞𝐱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38" name="CasellaDiTesto 60">
              <a:extLst>
                <a:ext uri="{FF2B5EF4-FFF2-40B4-BE49-F238E27FC236}">
                  <a16:creationId xmlns:a16="http://schemas.microsoft.com/office/drawing/2014/main" id="{EAE9A95A-B0ED-7C19-8BBD-7A238E0AEF5C}"/>
                </a:ext>
              </a:extLst>
            </xdr:cNvPr>
            <xdr:cNvSpPr txBox="1"/>
          </xdr:nvSpPr>
          <xdr:spPr>
            <a:xfrm>
              <a:off x="17573684" y="8015078"/>
              <a:ext cx="608022" cy="2526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𝐄_(𝐡𝐢𝐬𝐭,𝐞𝐱)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45497</xdr:colOff>
      <xdr:row>77</xdr:row>
      <xdr:rowOff>107261</xdr:rowOff>
    </xdr:from>
    <xdr:ext cx="149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CasellaDiTesto 60">
              <a:extLst>
                <a:ext uri="{FF2B5EF4-FFF2-40B4-BE49-F238E27FC236}">
                  <a16:creationId xmlns:a16="http://schemas.microsoft.com/office/drawing/2014/main" id="{3D24BDF3-1C6E-6C45-DBB6-1C43C46104E2}"/>
                </a:ext>
              </a:extLst>
            </xdr:cNvPr>
            <xdr:cNvSpPr txBox="1"/>
          </xdr:nvSpPr>
          <xdr:spPr>
            <a:xfrm>
              <a:off x="11643585" y="12288055"/>
              <a:ext cx="149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𝐯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40" name="CasellaDiTesto 60">
              <a:extLst>
                <a:ext uri="{FF2B5EF4-FFF2-40B4-BE49-F238E27FC236}">
                  <a16:creationId xmlns:a16="http://schemas.microsoft.com/office/drawing/2014/main" id="{3D24BDF3-1C6E-6C45-DBB6-1C43C46104E2}"/>
                </a:ext>
              </a:extLst>
            </xdr:cNvPr>
            <xdr:cNvSpPr txBox="1"/>
          </xdr:nvSpPr>
          <xdr:spPr>
            <a:xfrm>
              <a:off x="11643585" y="12288055"/>
              <a:ext cx="149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𝐫_𝐯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23</xdr:col>
      <xdr:colOff>257165</xdr:colOff>
      <xdr:row>77</xdr:row>
      <xdr:rowOff>106462</xdr:rowOff>
    </xdr:from>
    <xdr:ext cx="149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CasellaDiTesto 60">
              <a:extLst>
                <a:ext uri="{FF2B5EF4-FFF2-40B4-BE49-F238E27FC236}">
                  <a16:creationId xmlns:a16="http://schemas.microsoft.com/office/drawing/2014/main" id="{ACE254A9-D5EF-4FFD-A231-E4781C2ADE45}"/>
                </a:ext>
              </a:extLst>
            </xdr:cNvPr>
            <xdr:cNvSpPr txBox="1"/>
          </xdr:nvSpPr>
          <xdr:spPr>
            <a:xfrm>
              <a:off x="11855253" y="12287256"/>
              <a:ext cx="149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𝐯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41" name="CasellaDiTesto 60">
              <a:extLst>
                <a:ext uri="{FF2B5EF4-FFF2-40B4-BE49-F238E27FC236}">
                  <a16:creationId xmlns:a16="http://schemas.microsoft.com/office/drawing/2014/main" id="{ACE254A9-D5EF-4FFD-A231-E4781C2ADE45}"/>
                </a:ext>
              </a:extLst>
            </xdr:cNvPr>
            <xdr:cNvSpPr txBox="1"/>
          </xdr:nvSpPr>
          <xdr:spPr>
            <a:xfrm>
              <a:off x="11855253" y="12287256"/>
              <a:ext cx="149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𝐫_𝐯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358087</xdr:colOff>
      <xdr:row>12</xdr:row>
      <xdr:rowOff>129870</xdr:rowOff>
    </xdr:from>
    <xdr:ext cx="1412442" cy="2959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asellaDiTesto 60">
              <a:extLst>
                <a:ext uri="{FF2B5EF4-FFF2-40B4-BE49-F238E27FC236}">
                  <a16:creationId xmlns:a16="http://schemas.microsoft.com/office/drawing/2014/main" id="{D8E88C8A-3F0C-93DB-27B4-C629ECE5B2A2}"/>
                </a:ext>
              </a:extLst>
            </xdr:cNvPr>
            <xdr:cNvSpPr txBox="1"/>
          </xdr:nvSpPr>
          <xdr:spPr>
            <a:xfrm>
              <a:off x="21399678" y="1469143"/>
              <a:ext cx="1412442" cy="2959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2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𝐗</m:t>
                        </m:r>
                      </m:e>
                      <m:sub>
                        <m:r>
                          <a:rPr lang="it-IT" sz="12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𝐱𝐱</m:t>
                        </m:r>
                      </m:sub>
                    </m:sSub>
                    <m:r>
                      <a:rPr lang="it-IT" sz="1200" b="1" i="1">
                        <a:solidFill>
                          <a:srgbClr val="FF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→</m:t>
                    </m:r>
                    <m:r>
                      <a:rPr lang="it-IT" sz="1200" b="1" i="1">
                        <a:solidFill>
                          <a:srgbClr val="FF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𝒅𝒂𝒕𝒂</m:t>
                    </m:r>
                    <m:r>
                      <a:rPr lang="it-IT" sz="1200" b="1" i="1">
                        <a:solidFill>
                          <a:srgbClr val="FF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it-IT" sz="1200" b="1" i="1">
                        <a:solidFill>
                          <a:srgbClr val="FF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𝒕𝒂𝒃𝒍𝒆𝒔</m:t>
                    </m:r>
                  </m:oMath>
                </m:oMathPara>
              </a14:m>
              <a:endParaRPr lang="it-IT" sz="12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21" name="CasellaDiTesto 60">
              <a:extLst>
                <a:ext uri="{FF2B5EF4-FFF2-40B4-BE49-F238E27FC236}">
                  <a16:creationId xmlns:a16="http://schemas.microsoft.com/office/drawing/2014/main" id="{D8E88C8A-3F0C-93DB-27B4-C629ECE5B2A2}"/>
                </a:ext>
              </a:extLst>
            </xdr:cNvPr>
            <xdr:cNvSpPr txBox="1"/>
          </xdr:nvSpPr>
          <xdr:spPr>
            <a:xfrm>
              <a:off x="21399678" y="1469143"/>
              <a:ext cx="1412442" cy="2959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it-IT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𝐗_𝐱𝐱</a:t>
              </a:r>
              <a:r>
                <a:rPr lang="it-IT" sz="1200" b="1" i="0">
                  <a:solidFill>
                    <a:srgbClr val="FF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→𝒅𝒂𝒕𝒂 𝒕𝒂𝒃𝒍𝒆𝒔</a:t>
              </a:r>
              <a:endParaRPr lang="it-IT" sz="12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358087</xdr:colOff>
      <xdr:row>14</xdr:row>
      <xdr:rowOff>40224</xdr:rowOff>
    </xdr:from>
    <xdr:ext cx="1277972" cy="2585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CasellaDiTesto 60">
              <a:extLst>
                <a:ext uri="{FF2B5EF4-FFF2-40B4-BE49-F238E27FC236}">
                  <a16:creationId xmlns:a16="http://schemas.microsoft.com/office/drawing/2014/main" id="{6F1E51D8-E22D-E22B-0FB1-A136E7B1592A}"/>
                </a:ext>
              </a:extLst>
            </xdr:cNvPr>
            <xdr:cNvSpPr txBox="1"/>
          </xdr:nvSpPr>
          <xdr:spPr>
            <a:xfrm>
              <a:off x="21399678" y="1714315"/>
              <a:ext cx="1277972" cy="2585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2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2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𝐗</m:t>
                        </m:r>
                      </m:e>
                      <m:sub>
                        <m:r>
                          <a:rPr lang="it-IT" sz="12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𝐱𝐱</m:t>
                        </m:r>
                      </m:sub>
                    </m:sSub>
                    <m:r>
                      <a:rPr lang="it-IT" sz="12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→</m:t>
                    </m:r>
                    <m:r>
                      <a:rPr lang="it-IT" sz="12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𝒗𝒂𝒓𝒊𝒂𝒃𝒍𝒆𝒔</m:t>
                    </m:r>
                  </m:oMath>
                </m:oMathPara>
              </a14:m>
              <a:endParaRPr lang="it-IT" sz="12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42" name="CasellaDiTesto 60">
              <a:extLst>
                <a:ext uri="{FF2B5EF4-FFF2-40B4-BE49-F238E27FC236}">
                  <a16:creationId xmlns:a16="http://schemas.microsoft.com/office/drawing/2014/main" id="{6F1E51D8-E22D-E22B-0FB1-A136E7B1592A}"/>
                </a:ext>
              </a:extLst>
            </xdr:cNvPr>
            <xdr:cNvSpPr txBox="1"/>
          </xdr:nvSpPr>
          <xdr:spPr>
            <a:xfrm>
              <a:off x="21399678" y="1714315"/>
              <a:ext cx="1277972" cy="2585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it-IT" sz="12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𝐗_𝐱𝐱</a:t>
              </a:r>
              <a:r>
                <a:rPr lang="it-IT" sz="120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→𝒗𝒂𝒓𝒊𝒂𝒃𝒍𝒆𝒔</a:t>
              </a:r>
              <a:endParaRPr lang="it-IT" sz="12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45497</xdr:colOff>
      <xdr:row>96</xdr:row>
      <xdr:rowOff>115957</xdr:rowOff>
    </xdr:from>
    <xdr:ext cx="196784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CasellaDiTesto 60">
              <a:extLst>
                <a:ext uri="{FF2B5EF4-FFF2-40B4-BE49-F238E27FC236}">
                  <a16:creationId xmlns:a16="http://schemas.microsoft.com/office/drawing/2014/main" id="{AFF7FFC2-D1C3-418B-99FB-ACD21975A809}"/>
                </a:ext>
              </a:extLst>
            </xdr:cNvPr>
            <xdr:cNvSpPr txBox="1"/>
          </xdr:nvSpPr>
          <xdr:spPr>
            <a:xfrm>
              <a:off x="13122762" y="15434398"/>
              <a:ext cx="196784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𝐐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𝐲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22" name="CasellaDiTesto 60">
              <a:extLst>
                <a:ext uri="{FF2B5EF4-FFF2-40B4-BE49-F238E27FC236}">
                  <a16:creationId xmlns:a16="http://schemas.microsoft.com/office/drawing/2014/main" id="{AFF7FFC2-D1C3-418B-99FB-ACD21975A809}"/>
                </a:ext>
              </a:extLst>
            </xdr:cNvPr>
            <xdr:cNvSpPr txBox="1"/>
          </xdr:nvSpPr>
          <xdr:spPr>
            <a:xfrm>
              <a:off x="13122762" y="15434398"/>
              <a:ext cx="196784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𝐐_𝐲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25</xdr:col>
      <xdr:colOff>74900</xdr:colOff>
      <xdr:row>97</xdr:row>
      <xdr:rowOff>139519</xdr:rowOff>
    </xdr:from>
    <xdr:ext cx="252440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CasellaDiTesto 60">
              <a:extLst>
                <a:ext uri="{FF2B5EF4-FFF2-40B4-BE49-F238E27FC236}">
                  <a16:creationId xmlns:a16="http://schemas.microsoft.com/office/drawing/2014/main" id="{7F654DB0-13F0-4A4C-B017-5C74D7A9EAA5}"/>
                </a:ext>
              </a:extLst>
            </xdr:cNvPr>
            <xdr:cNvSpPr txBox="1"/>
          </xdr:nvSpPr>
          <xdr:spPr>
            <a:xfrm>
              <a:off x="6738665" y="11823519"/>
              <a:ext cx="252440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𝐲𝐲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43" name="CasellaDiTesto 60">
              <a:extLst>
                <a:ext uri="{FF2B5EF4-FFF2-40B4-BE49-F238E27FC236}">
                  <a16:creationId xmlns:a16="http://schemas.microsoft.com/office/drawing/2014/main" id="{7F654DB0-13F0-4A4C-B017-5C74D7A9EAA5}"/>
                </a:ext>
              </a:extLst>
            </xdr:cNvPr>
            <xdr:cNvSpPr txBox="1"/>
          </xdr:nvSpPr>
          <xdr:spPr>
            <a:xfrm>
              <a:off x="6738665" y="11823519"/>
              <a:ext cx="252440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𝐐_𝐲𝐲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271673</xdr:colOff>
      <xdr:row>95</xdr:row>
      <xdr:rowOff>18041</xdr:rowOff>
    </xdr:from>
    <xdr:ext cx="259750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CasellaDiTesto 60">
              <a:extLst>
                <a:ext uri="{FF2B5EF4-FFF2-40B4-BE49-F238E27FC236}">
                  <a16:creationId xmlns:a16="http://schemas.microsoft.com/office/drawing/2014/main" id="{141C354E-736C-6742-8464-A588E2661260}"/>
                </a:ext>
              </a:extLst>
            </xdr:cNvPr>
            <xdr:cNvSpPr txBox="1"/>
          </xdr:nvSpPr>
          <xdr:spPr>
            <a:xfrm>
              <a:off x="8024195" y="14109519"/>
              <a:ext cx="259750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𝐲𝐡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44" name="CasellaDiTesto 60">
              <a:extLst>
                <a:ext uri="{FF2B5EF4-FFF2-40B4-BE49-F238E27FC236}">
                  <a16:creationId xmlns:a16="http://schemas.microsoft.com/office/drawing/2014/main" id="{141C354E-736C-6742-8464-A588E2661260}"/>
                </a:ext>
              </a:extLst>
            </xdr:cNvPr>
            <xdr:cNvSpPr txBox="1"/>
          </xdr:nvSpPr>
          <xdr:spPr>
            <a:xfrm>
              <a:off x="8024195" y="14109519"/>
              <a:ext cx="259750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𝐐_𝐲𝐡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26</xdr:col>
      <xdr:colOff>4840</xdr:colOff>
      <xdr:row>102</xdr:row>
      <xdr:rowOff>93545</xdr:rowOff>
    </xdr:from>
    <xdr:ext cx="20082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CasellaDiTesto 60">
              <a:extLst>
                <a:ext uri="{FF2B5EF4-FFF2-40B4-BE49-F238E27FC236}">
                  <a16:creationId xmlns:a16="http://schemas.microsoft.com/office/drawing/2014/main" id="{BB76E398-ED01-449A-BEDC-2E123C5C3114}"/>
                </a:ext>
              </a:extLst>
            </xdr:cNvPr>
            <xdr:cNvSpPr txBox="1"/>
          </xdr:nvSpPr>
          <xdr:spPr>
            <a:xfrm>
              <a:off x="14325958" y="16353280"/>
              <a:ext cx="20082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𝐐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𝐡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45" name="CasellaDiTesto 60">
              <a:extLst>
                <a:ext uri="{FF2B5EF4-FFF2-40B4-BE49-F238E27FC236}">
                  <a16:creationId xmlns:a16="http://schemas.microsoft.com/office/drawing/2014/main" id="{BB76E398-ED01-449A-BEDC-2E123C5C3114}"/>
                </a:ext>
              </a:extLst>
            </xdr:cNvPr>
            <xdr:cNvSpPr txBox="1"/>
          </xdr:nvSpPr>
          <xdr:spPr>
            <a:xfrm>
              <a:off x="14325958" y="16353280"/>
              <a:ext cx="20082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𝐐_𝐡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26</xdr:col>
      <xdr:colOff>264456</xdr:colOff>
      <xdr:row>102</xdr:row>
      <xdr:rowOff>106226</xdr:rowOff>
    </xdr:from>
    <xdr:ext cx="20082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CasellaDiTesto 60">
              <a:extLst>
                <a:ext uri="{FF2B5EF4-FFF2-40B4-BE49-F238E27FC236}">
                  <a16:creationId xmlns:a16="http://schemas.microsoft.com/office/drawing/2014/main" id="{A8DCC6C0-D5C4-49CD-B0DB-24EBC082CEB3}"/>
                </a:ext>
              </a:extLst>
            </xdr:cNvPr>
            <xdr:cNvSpPr txBox="1"/>
          </xdr:nvSpPr>
          <xdr:spPr>
            <a:xfrm>
              <a:off x="14585574" y="16365961"/>
              <a:ext cx="20082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𝐡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47" name="CasellaDiTesto 60">
              <a:extLst>
                <a:ext uri="{FF2B5EF4-FFF2-40B4-BE49-F238E27FC236}">
                  <a16:creationId xmlns:a16="http://schemas.microsoft.com/office/drawing/2014/main" id="{A8DCC6C0-D5C4-49CD-B0DB-24EBC082CEB3}"/>
                </a:ext>
              </a:extLst>
            </xdr:cNvPr>
            <xdr:cNvSpPr txBox="1"/>
          </xdr:nvSpPr>
          <xdr:spPr>
            <a:xfrm>
              <a:off x="14585574" y="16365961"/>
              <a:ext cx="20082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𝐐_𝐡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31</xdr:col>
      <xdr:colOff>42322</xdr:colOff>
      <xdr:row>96</xdr:row>
      <xdr:rowOff>115957</xdr:rowOff>
    </xdr:from>
    <xdr:ext cx="189411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CasellaDiTesto 60">
              <a:extLst>
                <a:ext uri="{FF2B5EF4-FFF2-40B4-BE49-F238E27FC236}">
                  <a16:creationId xmlns:a16="http://schemas.microsoft.com/office/drawing/2014/main" id="{ED0DE0D5-4960-4499-8BFC-968BBE6392D5}"/>
                </a:ext>
              </a:extLst>
            </xdr:cNvPr>
            <xdr:cNvSpPr txBox="1"/>
          </xdr:nvSpPr>
          <xdr:spPr>
            <a:xfrm>
              <a:off x="9126557" y="11635604"/>
              <a:ext cx="189411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𝐗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𝐲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48" name="CasellaDiTesto 60">
              <a:extLst>
                <a:ext uri="{FF2B5EF4-FFF2-40B4-BE49-F238E27FC236}">
                  <a16:creationId xmlns:a16="http://schemas.microsoft.com/office/drawing/2014/main" id="{ED0DE0D5-4960-4499-8BFC-968BBE6392D5}"/>
                </a:ext>
              </a:extLst>
            </xdr:cNvPr>
            <xdr:cNvSpPr txBox="1"/>
          </xdr:nvSpPr>
          <xdr:spPr>
            <a:xfrm>
              <a:off x="9126557" y="11635604"/>
              <a:ext cx="189411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𝐗_𝐲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37</xdr:col>
      <xdr:colOff>27251</xdr:colOff>
      <xdr:row>102</xdr:row>
      <xdr:rowOff>93545</xdr:rowOff>
    </xdr:from>
    <xdr:ext cx="19345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CasellaDiTesto 60">
              <a:extLst>
                <a:ext uri="{FF2B5EF4-FFF2-40B4-BE49-F238E27FC236}">
                  <a16:creationId xmlns:a16="http://schemas.microsoft.com/office/drawing/2014/main" id="{43ED07B0-0A30-40C2-8537-31C00C7D2AD8}"/>
                </a:ext>
              </a:extLst>
            </xdr:cNvPr>
            <xdr:cNvSpPr txBox="1"/>
          </xdr:nvSpPr>
          <xdr:spPr>
            <a:xfrm>
              <a:off x="18909163" y="16353280"/>
              <a:ext cx="19345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𝐗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𝐡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50" name="CasellaDiTesto 60">
              <a:extLst>
                <a:ext uri="{FF2B5EF4-FFF2-40B4-BE49-F238E27FC236}">
                  <a16:creationId xmlns:a16="http://schemas.microsoft.com/office/drawing/2014/main" id="{43ED07B0-0A30-40C2-8537-31C00C7D2AD8}"/>
                </a:ext>
              </a:extLst>
            </xdr:cNvPr>
            <xdr:cNvSpPr txBox="1"/>
          </xdr:nvSpPr>
          <xdr:spPr>
            <a:xfrm>
              <a:off x="18909163" y="16353280"/>
              <a:ext cx="19345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𝐗_𝐡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37</xdr:col>
      <xdr:colOff>247402</xdr:colOff>
      <xdr:row>102</xdr:row>
      <xdr:rowOff>103720</xdr:rowOff>
    </xdr:from>
    <xdr:ext cx="19345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CasellaDiTesto 60">
              <a:extLst>
                <a:ext uri="{FF2B5EF4-FFF2-40B4-BE49-F238E27FC236}">
                  <a16:creationId xmlns:a16="http://schemas.microsoft.com/office/drawing/2014/main" id="{879D60A0-6A66-48B7-D7BA-F34CB5CB9A82}"/>
                </a:ext>
              </a:extLst>
            </xdr:cNvPr>
            <xdr:cNvSpPr txBox="1"/>
          </xdr:nvSpPr>
          <xdr:spPr>
            <a:xfrm>
              <a:off x="19129314" y="16363455"/>
              <a:ext cx="19345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𝐗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𝐡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51" name="CasellaDiTesto 60">
              <a:extLst>
                <a:ext uri="{FF2B5EF4-FFF2-40B4-BE49-F238E27FC236}">
                  <a16:creationId xmlns:a16="http://schemas.microsoft.com/office/drawing/2014/main" id="{879D60A0-6A66-48B7-D7BA-F34CB5CB9A82}"/>
                </a:ext>
              </a:extLst>
            </xdr:cNvPr>
            <xdr:cNvSpPr txBox="1"/>
          </xdr:nvSpPr>
          <xdr:spPr>
            <a:xfrm>
              <a:off x="19129314" y="16363455"/>
              <a:ext cx="19345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𝐗_𝐡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33</xdr:col>
      <xdr:colOff>362825</xdr:colOff>
      <xdr:row>94</xdr:row>
      <xdr:rowOff>106096</xdr:rowOff>
    </xdr:from>
    <xdr:ext cx="245067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CasellaDiTesto 60">
              <a:extLst>
                <a:ext uri="{FF2B5EF4-FFF2-40B4-BE49-F238E27FC236}">
                  <a16:creationId xmlns:a16="http://schemas.microsoft.com/office/drawing/2014/main" id="{69F9E78C-44DB-CBFE-71F9-924488694D48}"/>
                </a:ext>
              </a:extLst>
            </xdr:cNvPr>
            <xdr:cNvSpPr txBox="1"/>
          </xdr:nvSpPr>
          <xdr:spPr>
            <a:xfrm>
              <a:off x="15174200" y="15917596"/>
              <a:ext cx="245067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𝐗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𝐲𝐲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52" name="CasellaDiTesto 60">
              <a:extLst>
                <a:ext uri="{FF2B5EF4-FFF2-40B4-BE49-F238E27FC236}">
                  <a16:creationId xmlns:a16="http://schemas.microsoft.com/office/drawing/2014/main" id="{69F9E78C-44DB-CBFE-71F9-924488694D48}"/>
                </a:ext>
              </a:extLst>
            </xdr:cNvPr>
            <xdr:cNvSpPr txBox="1"/>
          </xdr:nvSpPr>
          <xdr:spPr>
            <a:xfrm>
              <a:off x="15174200" y="15917596"/>
              <a:ext cx="245067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𝐗_𝐲𝐲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41</xdr:col>
      <xdr:colOff>83460</xdr:colOff>
      <xdr:row>95</xdr:row>
      <xdr:rowOff>82591</xdr:rowOff>
    </xdr:from>
    <xdr:ext cx="247845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CasellaDiTesto 60">
              <a:extLst>
                <a:ext uri="{FF2B5EF4-FFF2-40B4-BE49-F238E27FC236}">
                  <a16:creationId xmlns:a16="http://schemas.microsoft.com/office/drawing/2014/main" id="{F2B957A6-2323-CF42-56B8-801EF090FA01}"/>
                </a:ext>
              </a:extLst>
            </xdr:cNvPr>
            <xdr:cNvSpPr txBox="1"/>
          </xdr:nvSpPr>
          <xdr:spPr>
            <a:xfrm>
              <a:off x="18222373" y="15910656"/>
              <a:ext cx="247845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𝐗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𝐲𝐡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53" name="CasellaDiTesto 60">
              <a:extLst>
                <a:ext uri="{FF2B5EF4-FFF2-40B4-BE49-F238E27FC236}">
                  <a16:creationId xmlns:a16="http://schemas.microsoft.com/office/drawing/2014/main" id="{F2B957A6-2323-CF42-56B8-801EF090FA01}"/>
                </a:ext>
              </a:extLst>
            </xdr:cNvPr>
            <xdr:cNvSpPr txBox="1"/>
          </xdr:nvSpPr>
          <xdr:spPr>
            <a:xfrm>
              <a:off x="18222373" y="15910656"/>
              <a:ext cx="247845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𝐗_𝐲𝐡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296322</xdr:colOff>
      <xdr:row>96</xdr:row>
      <xdr:rowOff>115957</xdr:rowOff>
    </xdr:from>
    <xdr:ext cx="196784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CasellaDiTesto 60">
              <a:extLst>
                <a:ext uri="{FF2B5EF4-FFF2-40B4-BE49-F238E27FC236}">
                  <a16:creationId xmlns:a16="http://schemas.microsoft.com/office/drawing/2014/main" id="{41BC55ED-7E1B-2B66-4732-DEE6FB44F060}"/>
                </a:ext>
              </a:extLst>
            </xdr:cNvPr>
            <xdr:cNvSpPr txBox="1"/>
          </xdr:nvSpPr>
          <xdr:spPr>
            <a:xfrm>
              <a:off x="6153263" y="11635604"/>
              <a:ext cx="196784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𝐲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57" name="CasellaDiTesto 60">
              <a:extLst>
                <a:ext uri="{FF2B5EF4-FFF2-40B4-BE49-F238E27FC236}">
                  <a16:creationId xmlns:a16="http://schemas.microsoft.com/office/drawing/2014/main" id="{41BC55ED-7E1B-2B66-4732-DEE6FB44F060}"/>
                </a:ext>
              </a:extLst>
            </xdr:cNvPr>
            <xdr:cNvSpPr txBox="1"/>
          </xdr:nvSpPr>
          <xdr:spPr>
            <a:xfrm>
              <a:off x="6153263" y="11635604"/>
              <a:ext cx="196784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𝐐_𝐲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31</xdr:col>
      <xdr:colOff>296322</xdr:colOff>
      <xdr:row>96</xdr:row>
      <xdr:rowOff>115957</xdr:rowOff>
    </xdr:from>
    <xdr:ext cx="189411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CasellaDiTesto 60">
              <a:extLst>
                <a:ext uri="{FF2B5EF4-FFF2-40B4-BE49-F238E27FC236}">
                  <a16:creationId xmlns:a16="http://schemas.microsoft.com/office/drawing/2014/main" id="{8844CFAB-6EE7-49BD-515E-050B1EA18749}"/>
                </a:ext>
              </a:extLst>
            </xdr:cNvPr>
            <xdr:cNvSpPr txBox="1"/>
          </xdr:nvSpPr>
          <xdr:spPr>
            <a:xfrm>
              <a:off x="9380557" y="11635604"/>
              <a:ext cx="189411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𝐗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𝐲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58" name="CasellaDiTesto 60">
              <a:extLst>
                <a:ext uri="{FF2B5EF4-FFF2-40B4-BE49-F238E27FC236}">
                  <a16:creationId xmlns:a16="http://schemas.microsoft.com/office/drawing/2014/main" id="{8844CFAB-6EE7-49BD-515E-050B1EA18749}"/>
                </a:ext>
              </a:extLst>
            </xdr:cNvPr>
            <xdr:cNvSpPr txBox="1"/>
          </xdr:nvSpPr>
          <xdr:spPr>
            <a:xfrm>
              <a:off x="9380557" y="11635604"/>
              <a:ext cx="189411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𝐗_𝐲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54</xdr:col>
      <xdr:colOff>68506</xdr:colOff>
      <xdr:row>99</xdr:row>
      <xdr:rowOff>47775</xdr:rowOff>
    </xdr:from>
    <xdr:ext cx="3027491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CasellaDiTesto 60">
              <a:extLst>
                <a:ext uri="{FF2B5EF4-FFF2-40B4-BE49-F238E27FC236}">
                  <a16:creationId xmlns:a16="http://schemas.microsoft.com/office/drawing/2014/main" id="{1014549D-F015-4F44-21F1-A69D8220E776}"/>
                </a:ext>
              </a:extLst>
            </xdr:cNvPr>
            <xdr:cNvSpPr txBox="1"/>
          </xdr:nvSpPr>
          <xdr:spPr>
            <a:xfrm>
              <a:off x="24750680" y="16530166"/>
              <a:ext cx="3027491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it-IT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0: </m:t>
                  </m:r>
                  <m:sSub>
                    <m:sSubPr>
                      <m:ctrlPr>
                        <a:rPr lang="it-IT" sz="1100" b="1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it-IT" sz="1100" b="1" i="0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𝐐</m:t>
                      </m:r>
                      <m:r>
                        <a:rPr lang="it-IT" sz="1100" b="1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′</m:t>
                      </m:r>
                    </m:e>
                    <m:sub>
                      <m:r>
                        <a:rPr lang="it-IT" sz="1100" b="1" i="0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𝐲𝐲</m:t>
                      </m:r>
                    </m:sub>
                  </m:sSub>
                  <m:r>
                    <a:rPr lang="it-IT" sz="1100" b="1" i="1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</a:rPr>
                    <m:t>−</m:t>
                  </m:r>
                  <m:sSub>
                    <m:sSubPr>
                      <m:ctrlP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𝐮</m:t>
                      </m:r>
                    </m:e>
                    <m: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𝐲𝐲</m:t>
                      </m:r>
                    </m:sub>
                  </m:sSub>
                  <m:sSub>
                    <m:sSubPr>
                      <m:ctrlPr>
                        <a:rPr lang="it-IT" sz="1100" b="1" i="1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sSup>
                        <m:sSup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p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′</m:t>
                          </m:r>
                        </m:sup>
                      </m:sSup>
                    </m:e>
                    <m:sub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𝐲𝐲</m:t>
                      </m:r>
                    </m:sub>
                  </m:sSub>
                  <m:r>
                    <a:rPr lang="it-IT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sSub>
                    <m:sSubPr>
                      <m:ctrlP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𝐮</m:t>
                      </m:r>
                    </m:e>
                    <m: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𝐲𝐡</m:t>
                      </m:r>
                    </m:sub>
                  </m:sSub>
                  <m:sSub>
                    <m:sSubPr>
                      <m:ctrlPr>
                        <a:rPr lang="it-IT" sz="1100" b="1" i="1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sSup>
                        <m:sSup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p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′</m:t>
                          </m:r>
                        </m:sup>
                      </m:sSup>
                    </m:e>
                    <m:sub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𝐲𝐡</m:t>
                      </m:r>
                    </m:sub>
                  </m:sSub>
                  <m:r>
                    <a:rPr lang="it-IT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sSub>
                    <m:sSubPr>
                      <m:ctrlPr>
                        <a:rPr lang="it-IT" sz="1100" b="1" i="1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𝐄</m:t>
                      </m:r>
                    </m:e>
                    <m:sub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𝐲</m:t>
                      </m:r>
                    </m:sub>
                  </m:sSub>
                  <m:sSub>
                    <m:sSubPr>
                      <m:ctrlP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𝐢</m:t>
                      </m:r>
                    </m:e>
                    <m: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𝐭𝐟</m:t>
                      </m:r>
                    </m:sub>
                  </m:sSub>
                  <m:r>
                    <a:rPr lang="it-IT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r>
                    <a:rPr lang="it-IT" sz="1100" b="1" i="0">
                      <a:solidFill>
                        <a:srgbClr val="FF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𝐂𝐔</m:t>
                  </m:r>
                  <m:sSub>
                    <m:sSubPr>
                      <m:ctrlPr>
                        <a:rPr lang="it-IT" sz="1100" b="1" i="1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𝐑</m:t>
                      </m:r>
                    </m:e>
                    <m:sub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𝐲𝐲</m:t>
                      </m:r>
                    </m:sub>
                  </m:sSub>
                  <m:r>
                    <a:rPr lang="it-IT" sz="1100" b="1" i="0">
                      <a:solidFill>
                        <a:srgbClr val="FF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′</m:t>
                  </m:r>
                  <m:r>
                    <a:rPr lang="it-IT" sz="1100" b="1" i="1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</a:rPr>
                    <m:t>=</m:t>
                  </m:r>
                  <m:r>
                    <a:rPr lang="it-IT" sz="1100" b="1" i="1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</a:rPr>
                    <m:t>𝟎</m:t>
                  </m:r>
                </m:oMath>
              </a14:m>
              <a:r>
                <a:rPr lang="it-IT" sz="1100" b="0" i="0">
                  <a:solidFill>
                    <a:sysClr val="windowText" lastClr="000000"/>
                  </a:solidFill>
                </a:rPr>
                <a:t>  </a:t>
              </a:r>
            </a:p>
          </xdr:txBody>
        </xdr:sp>
      </mc:Choice>
      <mc:Fallback xmlns="">
        <xdr:sp macro="" textlink="">
          <xdr:nvSpPr>
            <xdr:cNvPr id="59" name="CasellaDiTesto 60">
              <a:extLst>
                <a:ext uri="{FF2B5EF4-FFF2-40B4-BE49-F238E27FC236}">
                  <a16:creationId xmlns:a16="http://schemas.microsoft.com/office/drawing/2014/main" id="{1014549D-F015-4F44-21F1-A69D8220E776}"/>
                </a:ext>
              </a:extLst>
            </xdr:cNvPr>
            <xdr:cNvSpPr txBox="1"/>
          </xdr:nvSpPr>
          <xdr:spPr>
            <a:xfrm>
              <a:off x="24750680" y="16530166"/>
              <a:ext cx="3027491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it-I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0: </a:t>
              </a:r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〖𝐐′〗_𝐲𝐲</a:t>
              </a:r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−</a:t>
              </a:r>
              <a:r>
                <a:rPr lang="it-IT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𝐮_𝐲𝐲</a:t>
              </a:r>
              <a:r>
                <a:rPr lang="it-IT" sz="11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〖𝐗^′〗_𝐲𝐲</a:t>
              </a:r>
              <a:r>
                <a:rPr lang="it-IT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−𝐮_𝐲𝐡</a:t>
              </a:r>
              <a:r>
                <a:rPr lang="it-IT" sz="11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〖𝐗^′〗_𝐲𝐡</a:t>
              </a:r>
              <a:r>
                <a:rPr lang="it-IT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it-IT" sz="11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𝐄_𝐲</a:t>
              </a:r>
              <a:r>
                <a:rPr lang="it-IT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𝐢_𝐭𝐟−</a:t>
              </a:r>
              <a:r>
                <a:rPr lang="it-IT" sz="11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𝐂𝐔𝐑_𝐲𝐲′</a:t>
              </a:r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=𝟎</a:t>
              </a:r>
              <a:r>
                <a:rPr lang="it-IT" sz="1100" b="0" i="0">
                  <a:solidFill>
                    <a:sysClr val="windowText" lastClr="000000"/>
                  </a:solidFill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54</xdr:col>
      <xdr:colOff>65331</xdr:colOff>
      <xdr:row>100</xdr:row>
      <xdr:rowOff>142501</xdr:rowOff>
    </xdr:from>
    <xdr:ext cx="3943199" cy="1969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CasellaDiTesto 60">
              <a:extLst>
                <a:ext uri="{FF2B5EF4-FFF2-40B4-BE49-F238E27FC236}">
                  <a16:creationId xmlns:a16="http://schemas.microsoft.com/office/drawing/2014/main" id="{00F4696B-A7C5-564A-C0B4-DFAE04FD4397}"/>
                </a:ext>
              </a:extLst>
            </xdr:cNvPr>
            <xdr:cNvSpPr txBox="1"/>
          </xdr:nvSpPr>
          <xdr:spPr>
            <a:xfrm>
              <a:off x="25995743" y="16088472"/>
              <a:ext cx="3943199" cy="1969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it-IT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0: </m:t>
                  </m:r>
                  <m:sSub>
                    <m:sSubPr>
                      <m:ctrlPr>
                        <a:rPr lang="it-IT" sz="1100" b="1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it-IT" sz="1100" b="1" i="0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𝐐</m:t>
                      </m:r>
                      <m:r>
                        <a:rPr lang="it-IT" sz="1100" b="1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′</m:t>
                      </m:r>
                    </m:e>
                    <m:sub>
                      <m:r>
                        <a:rPr lang="it-IT" sz="1100" b="1" i="0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𝐡</m:t>
                      </m:r>
                    </m:sub>
                  </m:sSub>
                  <m:r>
                    <a:rPr lang="it-IT" sz="1100" b="1" i="1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</a:rPr>
                    <m:t>−</m:t>
                  </m:r>
                  <m:r>
                    <a:rPr lang="it-IT" sz="1100" b="1" i="0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</a:rPr>
                    <m:t>𝐝</m:t>
                  </m:r>
                  <m:sSup>
                    <m:sSupPr>
                      <m:ctrlPr>
                        <a:rPr lang="it-IT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it-IT" sz="1100" b="1" i="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𝐩</m:t>
                      </m:r>
                    </m:e>
                    <m:sup>
                      <m:r>
                        <a:rPr lang="it-IT" sz="1100" b="1" i="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′</m:t>
                      </m:r>
                    </m:sup>
                  </m:sSup>
                  <m:d>
                    <m:dPr>
                      <m:ctrlPr>
                        <a:rPr lang="it-IT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𝐮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𝐡𝐲</m:t>
                          </m:r>
                        </m:sub>
                      </m:sSub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sSup>
                            <m:sSupPr>
                              <m:ctrlPr>
                                <a:rPr lang="it-IT" sz="1100" b="1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𝐗</m:t>
                              </m:r>
                            </m:e>
                            <m:sup>
                              <m:r>
                                <a:rPr lang="it-IT" sz="1100" b="1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′</m:t>
                              </m:r>
                            </m:sup>
                          </m:sSup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𝐲𝐲</m:t>
                          </m:r>
                        </m:sub>
                      </m:sSub>
                      <m: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𝐄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</m:t>
                          </m:r>
                        </m:sub>
                      </m:sSub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𝐭𝐟</m:t>
                          </m:r>
                        </m:sub>
                      </m:sSub>
                    </m:e>
                  </m:d>
                  <m:r>
                    <a:rPr lang="it-IT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∙</m:t>
                  </m:r>
                  <m:f>
                    <m:fPr>
                      <m:type m:val="lin"/>
                      <m:ctrlP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m:rPr>
                          <m:sty m:val="p"/>
                        </m:rP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p</m:t>
                      </m:r>
                      <m:sSub>
                        <m:sSubPr>
                          <m:ctrlPr>
                            <a:rPr lang="it-IT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m:rPr>
                              <m:sty m:val="p"/>
                            </m:rP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l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h</m:t>
                          </m:r>
                        </m:sub>
                      </m:sSub>
                    </m:num>
                    <m:den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8760</m:t>
                      </m:r>
                    </m:den>
                  </m:f>
                  <m:r>
                    <a:rPr lang="it-IT" sz="1100" b="1" i="1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−</m:t>
                  </m:r>
                  <m:sSub>
                    <m:sSubPr>
                      <m:ctrlP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𝐮</m:t>
                      </m:r>
                    </m:e>
                    <m: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𝐡𝐡</m:t>
                      </m:r>
                    </m:sub>
                  </m:sSub>
                  <m:sSub>
                    <m:sSubPr>
                      <m:ctrlPr>
                        <a:rPr lang="it-IT" sz="1100" b="1" i="1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sSup>
                        <m:sSup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p>
                          <m: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′</m:t>
                          </m:r>
                        </m:sup>
                      </m:sSup>
                    </m:e>
                    <m:sub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𝐡</m:t>
                      </m:r>
                    </m:sub>
                  </m:sSub>
                  <m:r>
                    <a:rPr lang="it-IT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r>
                    <a:rPr lang="it-IT" sz="1100" b="1" i="0">
                      <a:solidFill>
                        <a:srgbClr val="FF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𝐂𝐔</m:t>
                  </m:r>
                  <m:sSub>
                    <m:sSubPr>
                      <m:ctrlPr>
                        <a:rPr lang="it-IT" sz="1100" b="0" i="1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𝐑</m:t>
                      </m:r>
                    </m:e>
                    <m:sub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𝐡</m:t>
                      </m:r>
                    </m:sub>
                  </m:sSub>
                  <m:r>
                    <a:rPr lang="it-IT" sz="1100" b="0" i="0">
                      <a:solidFill>
                        <a:srgbClr val="FF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′</m:t>
                  </m:r>
                  <m:r>
                    <a:rPr lang="it-IT" sz="1100" b="0" i="1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</a:rPr>
                    <m:t>=</m:t>
                  </m:r>
                  <m:r>
                    <a:rPr lang="it-IT" sz="1100" b="1" i="1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</a:rPr>
                    <m:t>𝟎</m:t>
                  </m:r>
                </m:oMath>
              </a14:m>
              <a:r>
                <a:rPr lang="it-IT" sz="1100" b="0" i="0">
                  <a:solidFill>
                    <a:sysClr val="windowText" lastClr="000000"/>
                  </a:solidFill>
                </a:rPr>
                <a:t>  </a:t>
              </a:r>
            </a:p>
          </xdr:txBody>
        </xdr:sp>
      </mc:Choice>
      <mc:Fallback xmlns="">
        <xdr:sp macro="" textlink="">
          <xdr:nvSpPr>
            <xdr:cNvPr id="62" name="CasellaDiTesto 60">
              <a:extLst>
                <a:ext uri="{FF2B5EF4-FFF2-40B4-BE49-F238E27FC236}">
                  <a16:creationId xmlns:a16="http://schemas.microsoft.com/office/drawing/2014/main" id="{00F4696B-A7C5-564A-C0B4-DFAE04FD4397}"/>
                </a:ext>
              </a:extLst>
            </xdr:cNvPr>
            <xdr:cNvSpPr txBox="1"/>
          </xdr:nvSpPr>
          <xdr:spPr>
            <a:xfrm>
              <a:off x="25995743" y="16088472"/>
              <a:ext cx="3943199" cy="1969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it-I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0: </a:t>
              </a:r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〖𝐐′〗_𝐡</a:t>
              </a:r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−𝐝𝐩^′</a:t>
              </a:r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 (</a:t>
              </a:r>
              <a:r>
                <a:rPr lang="it-IT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𝐮_𝐡𝐲</a:t>
              </a:r>
              <a:r>
                <a:rPr lang="it-IT" sz="11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〖𝐗^′〗_𝐲𝐲</a:t>
              </a:r>
              <a:r>
                <a:rPr lang="it-IT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it-IT" sz="11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𝐄_𝐡</a:t>
              </a:r>
              <a:r>
                <a:rPr lang="it-IT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𝐢_𝐭𝐟 )∙〖</a:t>
              </a:r>
              <a:r>
                <a:rPr lang="it-I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pl_h</a:t>
              </a:r>
              <a:r>
                <a:rPr lang="it-IT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〗∕</a:t>
              </a:r>
              <a:r>
                <a:rPr lang="it-I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8760</a:t>
              </a:r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−</a:t>
              </a:r>
              <a:r>
                <a:rPr lang="it-IT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𝐮_𝐡𝐡</a:t>
              </a:r>
              <a:r>
                <a:rPr lang="it-IT" sz="11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〖𝐗^′〗_𝐡</a:t>
              </a:r>
              <a:r>
                <a:rPr lang="it-IT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it-IT" sz="11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𝐂𝐔𝐑</a:t>
              </a:r>
              <a:r>
                <a:rPr lang="it-IT" sz="1100" b="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it-IT" sz="11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𝐡</a:t>
              </a:r>
              <a:r>
                <a:rPr lang="it-IT" sz="1100" b="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′</a:t>
              </a:r>
              <a:r>
                <a:rPr lang="it-IT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=</a:t>
              </a:r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𝟎</a:t>
              </a:r>
              <a:r>
                <a:rPr lang="it-IT" sz="1100" b="0" i="0">
                  <a:solidFill>
                    <a:sysClr val="windowText" lastClr="000000"/>
                  </a:solidFill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26</xdr:col>
      <xdr:colOff>48986</xdr:colOff>
      <xdr:row>68</xdr:row>
      <xdr:rowOff>107950</xdr:rowOff>
    </xdr:from>
    <xdr:ext cx="2044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CasellaDiTesto 60">
              <a:extLst>
                <a:ext uri="{FF2B5EF4-FFF2-40B4-BE49-F238E27FC236}">
                  <a16:creationId xmlns:a16="http://schemas.microsoft.com/office/drawing/2014/main" id="{2157D8A5-F805-A233-17AE-005C72F742FE}"/>
                </a:ext>
              </a:extLst>
            </xdr:cNvPr>
            <xdr:cNvSpPr txBox="1"/>
          </xdr:nvSpPr>
          <xdr:spPr>
            <a:xfrm>
              <a:off x="7116162" y="10641479"/>
              <a:ext cx="2044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𝐝𝐩</m:t>
                    </m:r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64" name="CasellaDiTesto 60">
              <a:extLst>
                <a:ext uri="{FF2B5EF4-FFF2-40B4-BE49-F238E27FC236}">
                  <a16:creationId xmlns:a16="http://schemas.microsoft.com/office/drawing/2014/main" id="{2157D8A5-F805-A233-17AE-005C72F742FE}"/>
                </a:ext>
              </a:extLst>
            </xdr:cNvPr>
            <xdr:cNvSpPr txBox="1"/>
          </xdr:nvSpPr>
          <xdr:spPr>
            <a:xfrm>
              <a:off x="7116162" y="10641479"/>
              <a:ext cx="2044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𝐝𝐩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26</xdr:col>
      <xdr:colOff>290010</xdr:colOff>
      <xdr:row>68</xdr:row>
      <xdr:rowOff>104837</xdr:rowOff>
    </xdr:from>
    <xdr:ext cx="2044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CasellaDiTesto 60">
              <a:extLst>
                <a:ext uri="{FF2B5EF4-FFF2-40B4-BE49-F238E27FC236}">
                  <a16:creationId xmlns:a16="http://schemas.microsoft.com/office/drawing/2014/main" id="{027E8D96-6B3C-3719-D236-682DADF152C4}"/>
                </a:ext>
              </a:extLst>
            </xdr:cNvPr>
            <xdr:cNvSpPr txBox="1"/>
          </xdr:nvSpPr>
          <xdr:spPr>
            <a:xfrm>
              <a:off x="7633923" y="10717620"/>
              <a:ext cx="2044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𝐝𝐩</m:t>
                    </m:r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65" name="CasellaDiTesto 60">
              <a:extLst>
                <a:ext uri="{FF2B5EF4-FFF2-40B4-BE49-F238E27FC236}">
                  <a16:creationId xmlns:a16="http://schemas.microsoft.com/office/drawing/2014/main" id="{027E8D96-6B3C-3719-D236-682DADF152C4}"/>
                </a:ext>
              </a:extLst>
            </xdr:cNvPr>
            <xdr:cNvSpPr txBox="1"/>
          </xdr:nvSpPr>
          <xdr:spPr>
            <a:xfrm>
              <a:off x="7633923" y="10717620"/>
              <a:ext cx="2044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𝐝𝐩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48</xdr:col>
      <xdr:colOff>99589</xdr:colOff>
      <xdr:row>56</xdr:row>
      <xdr:rowOff>120372</xdr:rowOff>
    </xdr:from>
    <xdr:ext cx="428900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CasellaDiTesto 60">
              <a:extLst>
                <a:ext uri="{FF2B5EF4-FFF2-40B4-BE49-F238E27FC236}">
                  <a16:creationId xmlns:a16="http://schemas.microsoft.com/office/drawing/2014/main" id="{92D8F369-AD9E-AF14-6784-F1356094C768}"/>
                </a:ext>
              </a:extLst>
            </xdr:cNvPr>
            <xdr:cNvSpPr txBox="1"/>
          </xdr:nvSpPr>
          <xdr:spPr>
            <a:xfrm>
              <a:off x="16432893" y="8745329"/>
              <a:ext cx="428900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𝐗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𝐞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𝐦𝐨𝐝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66" name="CasellaDiTesto 60">
              <a:extLst>
                <a:ext uri="{FF2B5EF4-FFF2-40B4-BE49-F238E27FC236}">
                  <a16:creationId xmlns:a16="http://schemas.microsoft.com/office/drawing/2014/main" id="{92D8F369-AD9E-AF14-6784-F1356094C768}"/>
                </a:ext>
              </a:extLst>
            </xdr:cNvPr>
            <xdr:cNvSpPr txBox="1"/>
          </xdr:nvSpPr>
          <xdr:spPr>
            <a:xfrm>
              <a:off x="16432893" y="8745329"/>
              <a:ext cx="428900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𝐗_(𝐞,𝐦𝐨𝐝)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twoCellAnchor>
    <xdr:from>
      <xdr:col>54</xdr:col>
      <xdr:colOff>68507</xdr:colOff>
      <xdr:row>104</xdr:row>
      <xdr:rowOff>75046</xdr:rowOff>
    </xdr:from>
    <xdr:to>
      <xdr:col>57</xdr:col>
      <xdr:colOff>336173</xdr:colOff>
      <xdr:row>107</xdr:row>
      <xdr:rowOff>4219</xdr:rowOff>
    </xdr:to>
    <xdr:grpSp>
      <xdr:nvGrpSpPr>
        <xdr:cNvPr id="494" name="Group 493">
          <a:extLst>
            <a:ext uri="{FF2B5EF4-FFF2-40B4-BE49-F238E27FC236}">
              <a16:creationId xmlns:a16="http://schemas.microsoft.com/office/drawing/2014/main" id="{4D3258C2-F4EB-80B8-A33D-D6C3A6CC89FC}"/>
            </a:ext>
          </a:extLst>
        </xdr:cNvPr>
        <xdr:cNvGrpSpPr/>
      </xdr:nvGrpSpPr>
      <xdr:grpSpPr>
        <a:xfrm>
          <a:off x="23398407" y="17823296"/>
          <a:ext cx="1486866" cy="424473"/>
          <a:chOff x="23624956" y="17301163"/>
          <a:chExt cx="1506759" cy="422337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60" name="CasellaDiTesto 60">
                <a:extLst>
                  <a:ext uri="{FF2B5EF4-FFF2-40B4-BE49-F238E27FC236}">
                    <a16:creationId xmlns:a16="http://schemas.microsoft.com/office/drawing/2014/main" id="{C63841D5-5DD6-0303-E387-4080FD1E32BA}"/>
                  </a:ext>
                </a:extLst>
              </xdr:cNvPr>
              <xdr:cNvSpPr txBox="1"/>
            </xdr:nvSpPr>
            <xdr:spPr>
              <a:xfrm>
                <a:off x="23624956" y="17301163"/>
                <a:ext cx="1506759" cy="2048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14:m>
                  <m:oMath xmlns:m="http://schemas.openxmlformats.org/officeDocument/2006/math">
                    <m:r>
                      <a:rPr lang="it-IT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0: </m:t>
                    </m:r>
                    <m:sSub>
                      <m:sSubPr>
                        <m:ctrlPr>
                          <a:rPr lang="it-IT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𝐈</m:t>
                        </m:r>
                      </m:e>
                      <m:sub>
                        <m:r>
                          <a:rPr lang="it-IT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𝐲𝐲</m:t>
                        </m:r>
                      </m:sub>
                    </m:sSub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𝐗</m:t>
                        </m:r>
                        <m: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′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𝐲𝐲</m:t>
                        </m:r>
                      </m:sub>
                    </m:sSub>
                    <m:r>
                      <a:rPr lang="it-IT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it-IT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𝐯</m:t>
                        </m:r>
                      </m:e>
                      <m:sub>
                        <m:r>
                          <a:rPr lang="it-IT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𝐲𝐲</m:t>
                        </m:r>
                      </m:sub>
                    </m:sSub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it-IT" sz="1100" b="1" i="1">
                                <a:solidFill>
                                  <a:srgbClr val="FF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it-IT" sz="1100" b="1" i="0">
                                <a:solidFill>
                                  <a:srgbClr val="FF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𝐐</m:t>
                            </m:r>
                          </m:e>
                          <m:sup>
                            <m:r>
                              <a:rPr lang="it-IT" sz="1100" b="1" i="1">
                                <a:solidFill>
                                  <a:srgbClr val="FF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𝐲𝐲</m:t>
                        </m:r>
                      </m:sub>
                    </m:sSub>
                    <m:r>
                      <a:rPr lang="it-IT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it-IT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𝟎</m:t>
                    </m:r>
                  </m:oMath>
                </a14:m>
                <a:r>
                  <a:rPr lang="it-IT" sz="1100" b="0" i="0">
                    <a:solidFill>
                      <a:sysClr val="windowText" lastClr="000000"/>
                    </a:solidFill>
                  </a:rPr>
                  <a:t> </a:t>
                </a:r>
              </a:p>
            </xdr:txBody>
          </xdr:sp>
        </mc:Choice>
        <mc:Fallback xmlns="">
          <xdr:sp macro="" textlink="">
            <xdr:nvSpPr>
              <xdr:cNvPr id="60" name="CasellaDiTesto 60">
                <a:extLst>
                  <a:ext uri="{FF2B5EF4-FFF2-40B4-BE49-F238E27FC236}">
                    <a16:creationId xmlns:a16="http://schemas.microsoft.com/office/drawing/2014/main" id="{C63841D5-5DD6-0303-E387-4080FD1E32BA}"/>
                  </a:ext>
                </a:extLst>
              </xdr:cNvPr>
              <xdr:cNvSpPr txBox="1"/>
            </xdr:nvSpPr>
            <xdr:spPr>
              <a:xfrm>
                <a:off x="23624956" y="17301163"/>
                <a:ext cx="1506759" cy="2048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 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𝐈_𝐲𝐲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</a:t>
                </a:r>
                <a:r>
                  <a:rPr lang="it-IT" sz="1100" b="1" i="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〖𝐗′〗_𝐲𝐲</a:t>
                </a:r>
                <a:r>
                  <a:rPr lang="it-IT" sz="1100" b="1" i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−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𝐯_𝐲𝐲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〖𝐐^′〗_𝐲𝐲</a:t>
                </a:r>
                <a:r>
                  <a:rPr lang="it-IT" sz="1100" b="1" i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=𝟎</a:t>
                </a:r>
                <a:r>
                  <a:rPr lang="it-IT" sz="1100" b="0" i="0">
                    <a:solidFill>
                      <a:sysClr val="windowText" lastClr="000000"/>
                    </a:solidFill>
                  </a:rPr>
                  <a:t> 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67" name="CasellaDiTesto 60">
                <a:extLst>
                  <a:ext uri="{FF2B5EF4-FFF2-40B4-BE49-F238E27FC236}">
                    <a16:creationId xmlns:a16="http://schemas.microsoft.com/office/drawing/2014/main" id="{38F338B1-1689-9F1A-508B-5413ECC525C4}"/>
                  </a:ext>
                </a:extLst>
              </xdr:cNvPr>
              <xdr:cNvSpPr txBox="1"/>
            </xdr:nvSpPr>
            <xdr:spPr>
              <a:xfrm>
                <a:off x="23628131" y="17540693"/>
                <a:ext cx="1426224" cy="18280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14:m>
                  <m:oMath xmlns:m="http://schemas.openxmlformats.org/officeDocument/2006/math">
                    <m:r>
                      <a:rPr lang="it-IT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0: </m:t>
                    </m:r>
                    <m:sSub>
                      <m:sSubPr>
                        <m:ctrlPr>
                          <a:rPr lang="it-IT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𝐈</m:t>
                        </m:r>
                      </m:e>
                      <m:sub>
                        <m:r>
                          <a:rPr lang="it-IT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𝐡𝐡</m:t>
                        </m:r>
                      </m:sub>
                    </m:sSub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𝐗</m:t>
                        </m:r>
                        <m: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′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𝐡</m:t>
                        </m:r>
                      </m:sub>
                    </m:sSub>
                    <m:r>
                      <a:rPr lang="it-IT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it-IT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𝐯</m:t>
                        </m:r>
                      </m:e>
                      <m:sub>
                        <m:r>
                          <a:rPr lang="it-IT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𝐡𝐡</m:t>
                        </m:r>
                      </m:sub>
                    </m:sSub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it-IT" sz="1100" b="1" i="1">
                                <a:solidFill>
                                  <a:srgbClr val="FF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it-IT" sz="1100" b="1" i="0">
                                <a:solidFill>
                                  <a:srgbClr val="FF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𝐐</m:t>
                            </m:r>
                          </m:e>
                          <m:sup>
                            <m:r>
                              <a:rPr lang="it-IT" sz="1100" b="1" i="1">
                                <a:solidFill>
                                  <a:srgbClr val="FF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𝐡</m:t>
                        </m:r>
                      </m:sub>
                    </m:sSub>
                    <m:r>
                      <a:rPr lang="it-IT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it-IT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𝟎</m:t>
                    </m:r>
                  </m:oMath>
                </a14:m>
                <a:r>
                  <a:rPr lang="it-IT" sz="1100" b="0" i="0">
                    <a:solidFill>
                      <a:sysClr val="windowText" lastClr="000000"/>
                    </a:solidFill>
                  </a:rPr>
                  <a:t> </a:t>
                </a:r>
              </a:p>
            </xdr:txBody>
          </xdr:sp>
        </mc:Choice>
        <mc:Fallback xmlns="">
          <xdr:sp macro="" textlink="">
            <xdr:nvSpPr>
              <xdr:cNvPr id="67" name="CasellaDiTesto 60">
                <a:extLst>
                  <a:ext uri="{FF2B5EF4-FFF2-40B4-BE49-F238E27FC236}">
                    <a16:creationId xmlns:a16="http://schemas.microsoft.com/office/drawing/2014/main" id="{38F338B1-1689-9F1A-508B-5413ECC525C4}"/>
                  </a:ext>
                </a:extLst>
              </xdr:cNvPr>
              <xdr:cNvSpPr txBox="1"/>
            </xdr:nvSpPr>
            <xdr:spPr>
              <a:xfrm>
                <a:off x="23628131" y="17540693"/>
                <a:ext cx="1426224" cy="18280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 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𝐈_𝐡𝐡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</a:t>
                </a:r>
                <a:r>
                  <a:rPr lang="it-IT" sz="1100" b="1" i="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〖𝐗′〗_𝐡</a:t>
                </a:r>
                <a:r>
                  <a:rPr lang="it-IT" sz="1100" b="1" i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−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𝐯_𝐡𝐡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〖𝐐^′〗_𝐡</a:t>
                </a:r>
                <a:r>
                  <a:rPr lang="it-IT" sz="1100" b="1" i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=𝟎</a:t>
                </a:r>
                <a:r>
                  <a:rPr lang="it-IT" sz="1100" b="0" i="0">
                    <a:solidFill>
                      <a:sysClr val="windowText" lastClr="000000"/>
                    </a:solidFill>
                  </a:rPr>
                  <a:t> </a:t>
                </a:r>
              </a:p>
            </xdr:txBody>
          </xdr:sp>
        </mc:Fallback>
      </mc:AlternateContent>
    </xdr:grpSp>
    <xdr:clientData/>
  </xdr:twoCellAnchor>
  <xdr:oneCellAnchor>
    <xdr:from>
      <xdr:col>23</xdr:col>
      <xdr:colOff>80973</xdr:colOff>
      <xdr:row>122</xdr:row>
      <xdr:rowOff>118166</xdr:rowOff>
    </xdr:from>
    <xdr:ext cx="2142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CasellaDiTesto 60">
              <a:extLst>
                <a:ext uri="{FF2B5EF4-FFF2-40B4-BE49-F238E27FC236}">
                  <a16:creationId xmlns:a16="http://schemas.microsoft.com/office/drawing/2014/main" id="{03CAD97B-488A-4E59-A184-66EE3BAC7F1B}"/>
                </a:ext>
              </a:extLst>
            </xdr:cNvPr>
            <xdr:cNvSpPr txBox="1"/>
          </xdr:nvSpPr>
          <xdr:spPr>
            <a:xfrm>
              <a:off x="5942023" y="14659666"/>
              <a:ext cx="2142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𝐕𝐕</m:t>
                    </m:r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75" name="CasellaDiTesto 60">
              <a:extLst>
                <a:ext uri="{FF2B5EF4-FFF2-40B4-BE49-F238E27FC236}">
                  <a16:creationId xmlns:a16="http://schemas.microsoft.com/office/drawing/2014/main" id="{03CAD97B-488A-4E59-A184-66EE3BAC7F1B}"/>
                </a:ext>
              </a:extLst>
            </xdr:cNvPr>
            <xdr:cNvSpPr txBox="1"/>
          </xdr:nvSpPr>
          <xdr:spPr>
            <a:xfrm>
              <a:off x="5942023" y="14659666"/>
              <a:ext cx="2142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𝐕𝐕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23</xdr:col>
      <xdr:colOff>53365</xdr:colOff>
      <xdr:row>134</xdr:row>
      <xdr:rowOff>92468</xdr:rowOff>
    </xdr:from>
    <xdr:ext cx="27475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CasellaDiTesto 60">
              <a:extLst>
                <a:ext uri="{FF2B5EF4-FFF2-40B4-BE49-F238E27FC236}">
                  <a16:creationId xmlns:a16="http://schemas.microsoft.com/office/drawing/2014/main" id="{C3271BB3-9F1F-42CB-8D66-9E19B88F5F41}"/>
                </a:ext>
              </a:extLst>
            </xdr:cNvPr>
            <xdr:cNvSpPr txBox="1"/>
          </xdr:nvSpPr>
          <xdr:spPr>
            <a:xfrm>
              <a:off x="5914415" y="16615168"/>
              <a:ext cx="27475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𝐌𝐌</m:t>
                    </m:r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86" name="CasellaDiTesto 60">
              <a:extLst>
                <a:ext uri="{FF2B5EF4-FFF2-40B4-BE49-F238E27FC236}">
                  <a16:creationId xmlns:a16="http://schemas.microsoft.com/office/drawing/2014/main" id="{C3271BB3-9F1F-42CB-8D66-9E19B88F5F41}"/>
                </a:ext>
              </a:extLst>
            </xdr:cNvPr>
            <xdr:cNvSpPr txBox="1"/>
          </xdr:nvSpPr>
          <xdr:spPr>
            <a:xfrm>
              <a:off x="5914415" y="16615168"/>
              <a:ext cx="27475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𝐌𝐌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31</xdr:col>
      <xdr:colOff>33827</xdr:colOff>
      <xdr:row>113</xdr:row>
      <xdr:rowOff>91830</xdr:rowOff>
    </xdr:from>
    <xdr:ext cx="22679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CasellaDiTesto 60">
              <a:extLst>
                <a:ext uri="{FF2B5EF4-FFF2-40B4-BE49-F238E27FC236}">
                  <a16:creationId xmlns:a16="http://schemas.microsoft.com/office/drawing/2014/main" id="{FEEF62B4-12FF-49C3-AB58-191A3B0CFC42}"/>
                </a:ext>
              </a:extLst>
            </xdr:cNvPr>
            <xdr:cNvSpPr txBox="1"/>
          </xdr:nvSpPr>
          <xdr:spPr>
            <a:xfrm>
              <a:off x="9146077" y="13147430"/>
              <a:ext cx="22679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𝐔𝐔</m:t>
                    </m:r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91" name="CasellaDiTesto 60">
              <a:extLst>
                <a:ext uri="{FF2B5EF4-FFF2-40B4-BE49-F238E27FC236}">
                  <a16:creationId xmlns:a16="http://schemas.microsoft.com/office/drawing/2014/main" id="{FEEF62B4-12FF-49C3-AB58-191A3B0CFC42}"/>
                </a:ext>
              </a:extLst>
            </xdr:cNvPr>
            <xdr:cNvSpPr txBox="1"/>
          </xdr:nvSpPr>
          <xdr:spPr>
            <a:xfrm>
              <a:off x="9146077" y="13147430"/>
              <a:ext cx="22679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𝐔𝐔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23</xdr:col>
      <xdr:colOff>322273</xdr:colOff>
      <xdr:row>29</xdr:row>
      <xdr:rowOff>118166</xdr:rowOff>
    </xdr:from>
    <xdr:ext cx="10810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CasellaDiTesto 60">
              <a:extLst>
                <a:ext uri="{FF2B5EF4-FFF2-40B4-BE49-F238E27FC236}">
                  <a16:creationId xmlns:a16="http://schemas.microsoft.com/office/drawing/2014/main" id="{5CFEA107-224B-278D-F4A7-71258EBB5A6A}"/>
                </a:ext>
              </a:extLst>
            </xdr:cNvPr>
            <xdr:cNvSpPr txBox="1"/>
          </xdr:nvSpPr>
          <xdr:spPr>
            <a:xfrm>
              <a:off x="6183323" y="4588566"/>
              <a:ext cx="10810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𝐯</m:t>
                    </m:r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92" name="CasellaDiTesto 60">
              <a:extLst>
                <a:ext uri="{FF2B5EF4-FFF2-40B4-BE49-F238E27FC236}">
                  <a16:creationId xmlns:a16="http://schemas.microsoft.com/office/drawing/2014/main" id="{5CFEA107-224B-278D-F4A7-71258EBB5A6A}"/>
                </a:ext>
              </a:extLst>
            </xdr:cNvPr>
            <xdr:cNvSpPr txBox="1"/>
          </xdr:nvSpPr>
          <xdr:spPr>
            <a:xfrm>
              <a:off x="6183323" y="4588566"/>
              <a:ext cx="10810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𝐯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31</xdr:col>
      <xdr:colOff>268777</xdr:colOff>
      <xdr:row>20</xdr:row>
      <xdr:rowOff>91830</xdr:rowOff>
    </xdr:from>
    <xdr:ext cx="11817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CasellaDiTesto 60">
              <a:extLst>
                <a:ext uri="{FF2B5EF4-FFF2-40B4-BE49-F238E27FC236}">
                  <a16:creationId xmlns:a16="http://schemas.microsoft.com/office/drawing/2014/main" id="{FAB52D6B-82FD-0E7C-7C8E-C89424408436}"/>
                </a:ext>
              </a:extLst>
            </xdr:cNvPr>
            <xdr:cNvSpPr txBox="1"/>
          </xdr:nvSpPr>
          <xdr:spPr>
            <a:xfrm>
              <a:off x="9381027" y="3076330"/>
              <a:ext cx="1181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𝐮</m:t>
                    </m:r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93" name="CasellaDiTesto 60">
              <a:extLst>
                <a:ext uri="{FF2B5EF4-FFF2-40B4-BE49-F238E27FC236}">
                  <a16:creationId xmlns:a16="http://schemas.microsoft.com/office/drawing/2014/main" id="{FAB52D6B-82FD-0E7C-7C8E-C89424408436}"/>
                </a:ext>
              </a:extLst>
            </xdr:cNvPr>
            <xdr:cNvSpPr txBox="1"/>
          </xdr:nvSpPr>
          <xdr:spPr>
            <a:xfrm>
              <a:off x="9381027" y="3076330"/>
              <a:ext cx="1181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𝐮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345465</xdr:colOff>
      <xdr:row>41</xdr:row>
      <xdr:rowOff>92468</xdr:rowOff>
    </xdr:from>
    <xdr:ext cx="1595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CasellaDiTesto 60">
              <a:extLst>
                <a:ext uri="{FF2B5EF4-FFF2-40B4-BE49-F238E27FC236}">
                  <a16:creationId xmlns:a16="http://schemas.microsoft.com/office/drawing/2014/main" id="{AA5CF86E-767B-A4EA-5ED0-AE651ABF724F}"/>
                </a:ext>
              </a:extLst>
            </xdr:cNvPr>
            <xdr:cNvSpPr txBox="1"/>
          </xdr:nvSpPr>
          <xdr:spPr>
            <a:xfrm>
              <a:off x="6206515" y="6544068"/>
              <a:ext cx="1595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𝐦</m:t>
                    </m:r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94" name="CasellaDiTesto 60">
              <a:extLst>
                <a:ext uri="{FF2B5EF4-FFF2-40B4-BE49-F238E27FC236}">
                  <a16:creationId xmlns:a16="http://schemas.microsoft.com/office/drawing/2014/main" id="{AA5CF86E-767B-A4EA-5ED0-AE651ABF724F}"/>
                </a:ext>
              </a:extLst>
            </xdr:cNvPr>
            <xdr:cNvSpPr txBox="1"/>
          </xdr:nvSpPr>
          <xdr:spPr>
            <a:xfrm>
              <a:off x="6206515" y="6544068"/>
              <a:ext cx="1595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𝐦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345464</xdr:colOff>
      <xdr:row>122</xdr:row>
      <xdr:rowOff>122583</xdr:rowOff>
    </xdr:from>
    <xdr:ext cx="12304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CasellaDiTesto 60">
              <a:extLst>
                <a:ext uri="{FF2B5EF4-FFF2-40B4-BE49-F238E27FC236}">
                  <a16:creationId xmlns:a16="http://schemas.microsoft.com/office/drawing/2014/main" id="{4A1B9105-3E47-80E2-E672-410FD267F32B}"/>
                </a:ext>
              </a:extLst>
            </xdr:cNvPr>
            <xdr:cNvSpPr txBox="1"/>
          </xdr:nvSpPr>
          <xdr:spPr>
            <a:xfrm>
              <a:off x="6463551" y="17692757"/>
              <a:ext cx="1230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𝐕</m:t>
                    </m:r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95" name="CasellaDiTesto 60">
              <a:extLst>
                <a:ext uri="{FF2B5EF4-FFF2-40B4-BE49-F238E27FC236}">
                  <a16:creationId xmlns:a16="http://schemas.microsoft.com/office/drawing/2014/main" id="{4A1B9105-3E47-80E2-E672-410FD267F32B}"/>
                </a:ext>
              </a:extLst>
            </xdr:cNvPr>
            <xdr:cNvSpPr txBox="1"/>
          </xdr:nvSpPr>
          <xdr:spPr>
            <a:xfrm>
              <a:off x="6463551" y="17692757"/>
              <a:ext cx="1230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𝐕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31</xdr:col>
      <xdr:colOff>287827</xdr:colOff>
      <xdr:row>113</xdr:row>
      <xdr:rowOff>91830</xdr:rowOff>
    </xdr:from>
    <xdr:ext cx="1293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CasellaDiTesto 60">
              <a:extLst>
                <a:ext uri="{FF2B5EF4-FFF2-40B4-BE49-F238E27FC236}">
                  <a16:creationId xmlns:a16="http://schemas.microsoft.com/office/drawing/2014/main" id="{D1351532-41C5-ECB0-46C1-3219CC4032B6}"/>
                </a:ext>
              </a:extLst>
            </xdr:cNvPr>
            <xdr:cNvSpPr txBox="1"/>
          </xdr:nvSpPr>
          <xdr:spPr>
            <a:xfrm>
              <a:off x="9654077" y="16119230"/>
              <a:ext cx="1293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𝐔</m:t>
                    </m:r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96" name="CasellaDiTesto 60">
              <a:extLst>
                <a:ext uri="{FF2B5EF4-FFF2-40B4-BE49-F238E27FC236}">
                  <a16:creationId xmlns:a16="http://schemas.microsoft.com/office/drawing/2014/main" id="{D1351532-41C5-ECB0-46C1-3219CC4032B6}"/>
                </a:ext>
              </a:extLst>
            </xdr:cNvPr>
            <xdr:cNvSpPr txBox="1"/>
          </xdr:nvSpPr>
          <xdr:spPr>
            <a:xfrm>
              <a:off x="9654077" y="16119230"/>
              <a:ext cx="1293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𝐔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23</xdr:col>
      <xdr:colOff>378159</xdr:colOff>
      <xdr:row>134</xdr:row>
      <xdr:rowOff>98542</xdr:rowOff>
    </xdr:from>
    <xdr:ext cx="15331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CasellaDiTesto 60">
              <a:extLst>
                <a:ext uri="{FF2B5EF4-FFF2-40B4-BE49-F238E27FC236}">
                  <a16:creationId xmlns:a16="http://schemas.microsoft.com/office/drawing/2014/main" id="{71FF74D3-49FA-09CB-376E-2FE4F2FB483E}"/>
                </a:ext>
              </a:extLst>
            </xdr:cNvPr>
            <xdr:cNvSpPr txBox="1"/>
          </xdr:nvSpPr>
          <xdr:spPr>
            <a:xfrm>
              <a:off x="6235100" y="16548777"/>
              <a:ext cx="1533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𝐌</m:t>
                    </m:r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97" name="CasellaDiTesto 60">
              <a:extLst>
                <a:ext uri="{FF2B5EF4-FFF2-40B4-BE49-F238E27FC236}">
                  <a16:creationId xmlns:a16="http://schemas.microsoft.com/office/drawing/2014/main" id="{71FF74D3-49FA-09CB-376E-2FE4F2FB483E}"/>
                </a:ext>
              </a:extLst>
            </xdr:cNvPr>
            <xdr:cNvSpPr txBox="1"/>
          </xdr:nvSpPr>
          <xdr:spPr>
            <a:xfrm>
              <a:off x="6235100" y="16548777"/>
              <a:ext cx="1533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𝐌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54</xdr:col>
      <xdr:colOff>65332</xdr:colOff>
      <xdr:row>117</xdr:row>
      <xdr:rowOff>101609</xdr:rowOff>
    </xdr:from>
    <xdr:ext cx="795089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CasellaDiTesto 60">
              <a:extLst>
                <a:ext uri="{FF2B5EF4-FFF2-40B4-BE49-F238E27FC236}">
                  <a16:creationId xmlns:a16="http://schemas.microsoft.com/office/drawing/2014/main" id="{9FB2AB12-310D-1FF3-05D0-CF3DC0926147}"/>
                </a:ext>
              </a:extLst>
            </xdr:cNvPr>
            <xdr:cNvSpPr txBox="1"/>
          </xdr:nvSpPr>
          <xdr:spPr>
            <a:xfrm>
              <a:off x="24998851" y="18719321"/>
              <a:ext cx="795089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0:</m:t>
                    </m:r>
                    <m:r>
                      <a:rPr lang="it-IT" sz="1100" b="1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𝐕</m:t>
                    </m:r>
                    <m:r>
                      <a:rPr lang="it-IT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it-IT" sz="1100" b="1" i="0">
                        <a:solidFill>
                          <a:sysClr val="windowText" lastClr="0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𝐯</m:t>
                    </m:r>
                    <m:r>
                      <a:rPr lang="it-IT" sz="1100" b="1" i="1">
                        <a:solidFill>
                          <a:sysClr val="windowText" lastClr="000000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∙</m:t>
                    </m:r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𝐐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𝐲</m:t>
                        </m:r>
                      </m:sub>
                    </m:sSub>
                  </m:oMath>
                </m:oMathPara>
              </a14:m>
              <a:endParaRPr lang="it-IT" sz="1100" b="0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98" name="CasellaDiTesto 60">
              <a:extLst>
                <a:ext uri="{FF2B5EF4-FFF2-40B4-BE49-F238E27FC236}">
                  <a16:creationId xmlns:a16="http://schemas.microsoft.com/office/drawing/2014/main" id="{9FB2AB12-310D-1FF3-05D0-CF3DC0926147}"/>
                </a:ext>
              </a:extLst>
            </xdr:cNvPr>
            <xdr:cNvSpPr txBox="1"/>
          </xdr:nvSpPr>
          <xdr:spPr>
            <a:xfrm>
              <a:off x="24998851" y="18719321"/>
              <a:ext cx="795089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0:</a:t>
              </a:r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𝐕</a:t>
              </a:r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=</a:t>
              </a:r>
              <a:r>
                <a:rPr lang="it-IT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𝐯</a:t>
              </a:r>
              <a:r>
                <a:rPr lang="it-IT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∙</a:t>
              </a:r>
              <a:r>
                <a:rPr lang="it-IT" sz="11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𝐐_𝐲</a:t>
              </a:r>
              <a:endParaRPr lang="it-IT" sz="1100" b="0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54</xdr:col>
      <xdr:colOff>73761</xdr:colOff>
      <xdr:row>119</xdr:row>
      <xdr:rowOff>16438</xdr:rowOff>
    </xdr:from>
    <xdr:ext cx="798295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CasellaDiTesto 60">
              <a:extLst>
                <a:ext uri="{FF2B5EF4-FFF2-40B4-BE49-F238E27FC236}">
                  <a16:creationId xmlns:a16="http://schemas.microsoft.com/office/drawing/2014/main" id="{77B6651F-3BDA-D911-2245-A9DFCFCF8148}"/>
                </a:ext>
              </a:extLst>
            </xdr:cNvPr>
            <xdr:cNvSpPr txBox="1"/>
          </xdr:nvSpPr>
          <xdr:spPr>
            <a:xfrm>
              <a:off x="23633385" y="19673341"/>
              <a:ext cx="798295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0:</m:t>
                    </m:r>
                    <m:r>
                      <a:rPr lang="it-IT" sz="1100" b="1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𝐔</m:t>
                    </m:r>
                    <m:r>
                      <a:rPr lang="it-IT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it-IT" sz="1100" b="1" i="0">
                        <a:solidFill>
                          <a:sysClr val="windowText" lastClr="0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𝐮</m:t>
                    </m:r>
                    <m:r>
                      <a:rPr lang="it-IT" sz="1100" b="1" i="1">
                        <a:solidFill>
                          <a:sysClr val="windowText" lastClr="000000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∙</m:t>
                    </m:r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𝐗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𝐲</m:t>
                        </m:r>
                      </m:sub>
                    </m:sSub>
                  </m:oMath>
                </m:oMathPara>
              </a14:m>
              <a:endParaRPr lang="it-IT" sz="1100" b="0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99" name="CasellaDiTesto 60">
              <a:extLst>
                <a:ext uri="{FF2B5EF4-FFF2-40B4-BE49-F238E27FC236}">
                  <a16:creationId xmlns:a16="http://schemas.microsoft.com/office/drawing/2014/main" id="{77B6651F-3BDA-D911-2245-A9DFCFCF8148}"/>
                </a:ext>
              </a:extLst>
            </xdr:cNvPr>
            <xdr:cNvSpPr txBox="1"/>
          </xdr:nvSpPr>
          <xdr:spPr>
            <a:xfrm>
              <a:off x="23633385" y="19673341"/>
              <a:ext cx="798295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0:</a:t>
              </a:r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𝐔</a:t>
              </a:r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=</a:t>
              </a:r>
              <a:r>
                <a:rPr lang="it-IT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𝐮</a:t>
              </a:r>
              <a:r>
                <a:rPr lang="it-IT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∙</a:t>
              </a:r>
              <a:r>
                <a:rPr lang="it-IT" sz="11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𝐗_𝐲</a:t>
              </a:r>
              <a:endParaRPr lang="it-IT" sz="1100" b="0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54</xdr:col>
      <xdr:colOff>90620</xdr:colOff>
      <xdr:row>120</xdr:row>
      <xdr:rowOff>99875</xdr:rowOff>
    </xdr:from>
    <xdr:ext cx="908647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CasellaDiTesto 60">
              <a:extLst>
                <a:ext uri="{FF2B5EF4-FFF2-40B4-BE49-F238E27FC236}">
                  <a16:creationId xmlns:a16="http://schemas.microsoft.com/office/drawing/2014/main" id="{29CC6A2C-6A05-7A3A-1138-BC2D126E71A2}"/>
                </a:ext>
              </a:extLst>
            </xdr:cNvPr>
            <xdr:cNvSpPr txBox="1"/>
          </xdr:nvSpPr>
          <xdr:spPr>
            <a:xfrm>
              <a:off x="23650244" y="19916933"/>
              <a:ext cx="908647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it-IT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0:</m:t>
                  </m:r>
                  <m:r>
                    <a:rPr lang="it-IT" sz="1100" b="1" i="0">
                      <a:solidFill>
                        <a:srgbClr val="FF0000"/>
                      </a:solidFill>
                      <a:latin typeface="Cambria Math" panose="02040503050406030204" pitchFamily="18" charset="0"/>
                    </a:rPr>
                    <m:t>𝐌</m:t>
                  </m:r>
                  <m:r>
                    <a:rPr lang="it-IT" sz="1100" b="1" i="1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</a:rPr>
                    <m:t>=</m:t>
                  </m:r>
                  <m:r>
                    <a:rPr lang="it-IT" sz="1100" b="1" i="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𝐦</m:t>
                  </m:r>
                  <m:r>
                    <a:rPr lang="it-IT" sz="1100" b="1" i="1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∙</m:t>
                  </m:r>
                  <m:sSub>
                    <m:sSubPr>
                      <m:ctrlPr>
                        <a:rPr lang="it-IT" sz="1100" b="1" i="1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𝐐</m:t>
                      </m:r>
                    </m:e>
                    <m:sub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𝐲</m:t>
                      </m:r>
                    </m:sub>
                  </m:sSub>
                  <m:r>
                    <m:rPr>
                      <m:nor/>
                    </m:rPr>
                    <a:rPr lang="it-IT" sz="1100" b="0" i="0">
                      <a:solidFill>
                        <a:srgbClr val="FF0000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</m:t>
                  </m:r>
                </m:oMath>
              </a14:m>
              <a:r>
                <a:rPr lang="it-IT" sz="1100" b="0" i="0">
                  <a:solidFill>
                    <a:sysClr val="windowText" lastClr="000000"/>
                  </a:solidFill>
                </a:rPr>
                <a:t> </a:t>
              </a:r>
            </a:p>
          </xdr:txBody>
        </xdr:sp>
      </mc:Choice>
      <mc:Fallback xmlns="">
        <xdr:sp macro="" textlink="">
          <xdr:nvSpPr>
            <xdr:cNvPr id="100" name="CasellaDiTesto 60">
              <a:extLst>
                <a:ext uri="{FF2B5EF4-FFF2-40B4-BE49-F238E27FC236}">
                  <a16:creationId xmlns:a16="http://schemas.microsoft.com/office/drawing/2014/main" id="{29CC6A2C-6A05-7A3A-1138-BC2D126E71A2}"/>
                </a:ext>
              </a:extLst>
            </xdr:cNvPr>
            <xdr:cNvSpPr txBox="1"/>
          </xdr:nvSpPr>
          <xdr:spPr>
            <a:xfrm>
              <a:off x="23650244" y="19916933"/>
              <a:ext cx="908647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t-I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0:</a:t>
              </a:r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𝐌</a:t>
              </a:r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=</a:t>
              </a:r>
              <a:r>
                <a:rPr lang="it-IT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𝐦</a:t>
              </a:r>
              <a:r>
                <a:rPr lang="it-IT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∙</a:t>
              </a:r>
              <a:r>
                <a:rPr lang="it-IT" sz="11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𝐐_𝐲</a:t>
              </a:r>
              <a:r>
                <a:rPr lang="it-IT" sz="1100" b="0" i="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it-IT" sz="1100" b="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r>
                <a:rPr lang="en-US" sz="1100" b="0" i="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it-IT" sz="1100" b="0" i="0">
                  <a:solidFill>
                    <a:sysClr val="windowText" lastClr="000000"/>
                  </a:solidFill>
                </a:rPr>
                <a:t> </a:t>
              </a:r>
            </a:p>
          </xdr:txBody>
        </xdr:sp>
      </mc:Fallback>
    </mc:AlternateContent>
    <xdr:clientData/>
  </xdr:oneCellAnchor>
  <xdr:oneCellAnchor>
    <xdr:from>
      <xdr:col>26</xdr:col>
      <xdr:colOff>27965</xdr:colOff>
      <xdr:row>137</xdr:row>
      <xdr:rowOff>124218</xdr:rowOff>
    </xdr:from>
    <xdr:ext cx="34567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CasellaDiTesto 60">
              <a:extLst>
                <a:ext uri="{FF2B5EF4-FFF2-40B4-BE49-F238E27FC236}">
                  <a16:creationId xmlns:a16="http://schemas.microsoft.com/office/drawing/2014/main" id="{B4E72E96-3D11-17F6-01DC-1301709D3654}"/>
                </a:ext>
              </a:extLst>
            </xdr:cNvPr>
            <xdr:cNvSpPr txBox="1"/>
          </xdr:nvSpPr>
          <xdr:spPr>
            <a:xfrm>
              <a:off x="7110657" y="17239910"/>
              <a:ext cx="34567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𝐌𝐌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𝐡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29" name="CasellaDiTesto 60">
              <a:extLst>
                <a:ext uri="{FF2B5EF4-FFF2-40B4-BE49-F238E27FC236}">
                  <a16:creationId xmlns:a16="http://schemas.microsoft.com/office/drawing/2014/main" id="{B4E72E96-3D11-17F6-01DC-1301709D3654}"/>
                </a:ext>
              </a:extLst>
            </xdr:cNvPr>
            <xdr:cNvSpPr txBox="1"/>
          </xdr:nvSpPr>
          <xdr:spPr>
            <a:xfrm>
              <a:off x="7110657" y="17239910"/>
              <a:ext cx="34567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〖𝐌𝐌〗_𝐡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29</xdr:col>
      <xdr:colOff>130541</xdr:colOff>
      <xdr:row>140</xdr:row>
      <xdr:rowOff>16755</xdr:rowOff>
    </xdr:from>
    <xdr:ext cx="22211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CasellaDiTesto 60">
              <a:extLst>
                <a:ext uri="{FF2B5EF4-FFF2-40B4-BE49-F238E27FC236}">
                  <a16:creationId xmlns:a16="http://schemas.microsoft.com/office/drawing/2014/main" id="{013009E6-5659-8AE8-C730-52FA85CC43C4}"/>
                </a:ext>
              </a:extLst>
            </xdr:cNvPr>
            <xdr:cNvSpPr txBox="1"/>
          </xdr:nvSpPr>
          <xdr:spPr>
            <a:xfrm>
              <a:off x="8429503" y="17630678"/>
              <a:ext cx="2221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𝐌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𝐡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55" name="CasellaDiTesto 60">
              <a:extLst>
                <a:ext uri="{FF2B5EF4-FFF2-40B4-BE49-F238E27FC236}">
                  <a16:creationId xmlns:a16="http://schemas.microsoft.com/office/drawing/2014/main" id="{013009E6-5659-8AE8-C730-52FA85CC43C4}"/>
                </a:ext>
              </a:extLst>
            </xdr:cNvPr>
            <xdr:cNvSpPr txBox="1"/>
          </xdr:nvSpPr>
          <xdr:spPr>
            <a:xfrm>
              <a:off x="8429503" y="17630678"/>
              <a:ext cx="2221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𝐌_𝐡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29</xdr:col>
      <xdr:colOff>108130</xdr:colOff>
      <xdr:row>135</xdr:row>
      <xdr:rowOff>154543</xdr:rowOff>
    </xdr:from>
    <xdr:ext cx="281039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CasellaDiTesto 60">
              <a:extLst>
                <a:ext uri="{FF2B5EF4-FFF2-40B4-BE49-F238E27FC236}">
                  <a16:creationId xmlns:a16="http://schemas.microsoft.com/office/drawing/2014/main" id="{8A5F8C36-537A-B2DE-3D47-B63E75E03738}"/>
                </a:ext>
              </a:extLst>
            </xdr:cNvPr>
            <xdr:cNvSpPr txBox="1"/>
          </xdr:nvSpPr>
          <xdr:spPr>
            <a:xfrm>
              <a:off x="8407580" y="16842343"/>
              <a:ext cx="281039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𝐌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𝐲𝐡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61" name="CasellaDiTesto 60">
              <a:extLst>
                <a:ext uri="{FF2B5EF4-FFF2-40B4-BE49-F238E27FC236}">
                  <a16:creationId xmlns:a16="http://schemas.microsoft.com/office/drawing/2014/main" id="{8A5F8C36-537A-B2DE-3D47-B63E75E03738}"/>
                </a:ext>
              </a:extLst>
            </xdr:cNvPr>
            <xdr:cNvSpPr txBox="1"/>
          </xdr:nvSpPr>
          <xdr:spPr>
            <a:xfrm>
              <a:off x="8407580" y="16842343"/>
              <a:ext cx="281039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𝐌_𝐲𝐡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47</xdr:col>
      <xdr:colOff>93775</xdr:colOff>
      <xdr:row>73</xdr:row>
      <xdr:rowOff>107188</xdr:rowOff>
    </xdr:from>
    <xdr:ext cx="14972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CasellaDiTesto 60">
              <a:extLst>
                <a:ext uri="{FF2B5EF4-FFF2-40B4-BE49-F238E27FC236}">
                  <a16:creationId xmlns:a16="http://schemas.microsoft.com/office/drawing/2014/main" id="{A4052251-13F6-5D8A-E9F7-9181DDC32EA9}"/>
                </a:ext>
              </a:extLst>
            </xdr:cNvPr>
            <xdr:cNvSpPr txBox="1"/>
          </xdr:nvSpPr>
          <xdr:spPr>
            <a:xfrm>
              <a:off x="21642687" y="11660453"/>
              <a:ext cx="1497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𝐞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68" name="CasellaDiTesto 60">
              <a:extLst>
                <a:ext uri="{FF2B5EF4-FFF2-40B4-BE49-F238E27FC236}">
                  <a16:creationId xmlns:a16="http://schemas.microsoft.com/office/drawing/2014/main" id="{A4052251-13F6-5D8A-E9F7-9181DDC32EA9}"/>
                </a:ext>
              </a:extLst>
            </xdr:cNvPr>
            <xdr:cNvSpPr txBox="1"/>
          </xdr:nvSpPr>
          <xdr:spPr>
            <a:xfrm>
              <a:off x="21642687" y="11660453"/>
              <a:ext cx="1497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𝐫_𝐞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399588</xdr:colOff>
      <xdr:row>79</xdr:row>
      <xdr:rowOff>63215</xdr:rowOff>
    </xdr:from>
    <xdr:ext cx="416076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CasellaDiTesto 60">
              <a:extLst>
                <a:ext uri="{FF2B5EF4-FFF2-40B4-BE49-F238E27FC236}">
                  <a16:creationId xmlns:a16="http://schemas.microsoft.com/office/drawing/2014/main" id="{194F479B-2141-60CF-83A4-7D90A6E037E9}"/>
                </a:ext>
              </a:extLst>
            </xdr:cNvPr>
            <xdr:cNvSpPr txBox="1"/>
          </xdr:nvSpPr>
          <xdr:spPr>
            <a:xfrm>
              <a:off x="8124176" y="12240274"/>
              <a:ext cx="41607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𝐯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𝐛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𝐨𝐮𝐭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72" name="CasellaDiTesto 60">
              <a:extLst>
                <a:ext uri="{FF2B5EF4-FFF2-40B4-BE49-F238E27FC236}">
                  <a16:creationId xmlns:a16="http://schemas.microsoft.com/office/drawing/2014/main" id="{194F479B-2141-60CF-83A4-7D90A6E037E9}"/>
                </a:ext>
              </a:extLst>
            </xdr:cNvPr>
            <xdr:cNvSpPr txBox="1"/>
          </xdr:nvSpPr>
          <xdr:spPr>
            <a:xfrm>
              <a:off x="8124176" y="12240274"/>
              <a:ext cx="41607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𝐫_(𝐯,𝐛,𝐨𝐮𝐭)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26</xdr:col>
      <xdr:colOff>234998</xdr:colOff>
      <xdr:row>79</xdr:row>
      <xdr:rowOff>59781</xdr:rowOff>
    </xdr:from>
    <xdr:ext cx="351378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CasellaDiTesto 60">
              <a:extLst>
                <a:ext uri="{FF2B5EF4-FFF2-40B4-BE49-F238E27FC236}">
                  <a16:creationId xmlns:a16="http://schemas.microsoft.com/office/drawing/2014/main" id="{C59DD1BB-F985-7D5F-1FC2-BC6CCF95ECA6}"/>
                </a:ext>
              </a:extLst>
            </xdr:cNvPr>
            <xdr:cNvSpPr txBox="1"/>
          </xdr:nvSpPr>
          <xdr:spPr>
            <a:xfrm>
              <a:off x="7556174" y="12236840"/>
              <a:ext cx="351378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𝐯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𝐛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𝐢𝐧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73" name="CasellaDiTesto 60">
              <a:extLst>
                <a:ext uri="{FF2B5EF4-FFF2-40B4-BE49-F238E27FC236}">
                  <a16:creationId xmlns:a16="http://schemas.microsoft.com/office/drawing/2014/main" id="{C59DD1BB-F985-7D5F-1FC2-BC6CCF95ECA6}"/>
                </a:ext>
              </a:extLst>
            </xdr:cNvPr>
            <xdr:cNvSpPr txBox="1"/>
          </xdr:nvSpPr>
          <xdr:spPr>
            <a:xfrm>
              <a:off x="7556174" y="12236840"/>
              <a:ext cx="351378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𝐫_(𝐯,𝐛,𝐢𝐧)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28</xdr:col>
      <xdr:colOff>58038</xdr:colOff>
      <xdr:row>97</xdr:row>
      <xdr:rowOff>142947</xdr:rowOff>
    </xdr:from>
    <xdr:ext cx="280270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CasellaDiTesto 60">
              <a:extLst>
                <a:ext uri="{FF2B5EF4-FFF2-40B4-BE49-F238E27FC236}">
                  <a16:creationId xmlns:a16="http://schemas.microsoft.com/office/drawing/2014/main" id="{67B18B3D-FAB0-D692-50EA-F092AB6ED536}"/>
                </a:ext>
              </a:extLst>
            </xdr:cNvPr>
            <xdr:cNvSpPr txBox="1"/>
          </xdr:nvSpPr>
          <xdr:spPr>
            <a:xfrm>
              <a:off x="8216693" y="14629706"/>
              <a:ext cx="280270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𝐲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𝐛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78" name="CasellaDiTesto 60">
              <a:extLst>
                <a:ext uri="{FF2B5EF4-FFF2-40B4-BE49-F238E27FC236}">
                  <a16:creationId xmlns:a16="http://schemas.microsoft.com/office/drawing/2014/main" id="{67B18B3D-FAB0-D692-50EA-F092AB6ED536}"/>
                </a:ext>
              </a:extLst>
            </xdr:cNvPr>
            <xdr:cNvSpPr txBox="1"/>
          </xdr:nvSpPr>
          <xdr:spPr>
            <a:xfrm>
              <a:off x="8216693" y="14629706"/>
              <a:ext cx="280270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𝐐_(𝐲,𝐛)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54</xdr:col>
      <xdr:colOff>68506</xdr:colOff>
      <xdr:row>80</xdr:row>
      <xdr:rowOff>38074</xdr:rowOff>
    </xdr:from>
    <xdr:ext cx="2594115" cy="19434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CasellaDiTesto 60">
              <a:extLst>
                <a:ext uri="{FF2B5EF4-FFF2-40B4-BE49-F238E27FC236}">
                  <a16:creationId xmlns:a16="http://schemas.microsoft.com/office/drawing/2014/main" id="{2694AAAA-88D3-7FFF-F866-E09A79B71BD5}"/>
                </a:ext>
              </a:extLst>
            </xdr:cNvPr>
            <xdr:cNvSpPr txBox="1"/>
          </xdr:nvSpPr>
          <xdr:spPr>
            <a:xfrm>
              <a:off x="24929851" y="13902971"/>
              <a:ext cx="2594115" cy="1943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it-IT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1: </m:t>
                  </m:r>
                  <m:sSub>
                    <m:sSubPr>
                      <m:ctrlPr>
                        <a:rPr lang="it-IT" sz="1100" b="1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it-IT" sz="1100" b="1" i="0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𝐫</m:t>
                      </m:r>
                    </m:e>
                    <m:sub>
                      <m:r>
                        <a:rPr lang="it-IT" sz="1100" b="1" i="0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𝐯</m:t>
                      </m:r>
                      <m:r>
                        <a:rPr lang="it-IT" sz="1100" b="1" i="0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,</m:t>
                      </m:r>
                      <m:r>
                        <a:rPr lang="it-IT" sz="1100" b="1" i="0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𝐛</m:t>
                      </m:r>
                      <m:r>
                        <a:rPr lang="it-IT" sz="1100" b="1" i="0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,</m:t>
                      </m:r>
                      <m:r>
                        <a:rPr lang="it-IT" sz="1100" b="1" i="0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𝐨𝐮𝐭</m:t>
                      </m:r>
                    </m:sub>
                  </m:sSub>
                  <m:sSub>
                    <m:sSubPr>
                      <m:ctrlP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acc>
                        <m:accPr>
                          <m:chr m:val="̂"/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acc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𝐐</m:t>
                          </m:r>
                        </m:e>
                      </m:acc>
                    </m:e>
                    <m: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𝐲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𝐛</m:t>
                      </m:r>
                    </m:sub>
                  </m:sSub>
                  <m:r>
                    <m:rPr>
                      <m:nor/>
                    </m:rPr>
                    <a:rPr lang="it-IT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a:rPr lang="it-IT" sz="1100" b="1" i="1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</a:rPr>
                    <m:t>−</m:t>
                  </m:r>
                  <m:sSub>
                    <m:sSubPr>
                      <m:ctrlPr>
                        <a:rPr lang="it-IT" sz="1100" b="1" i="1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𝐫</m:t>
                      </m:r>
                    </m:e>
                    <m:sub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𝐯</m:t>
                      </m:r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𝐛</m:t>
                      </m:r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𝐢𝐧</m:t>
                      </m:r>
                    </m:sub>
                  </m:sSub>
                  <m:sSub>
                    <m:sSubPr>
                      <m:ctrlP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𝐮</m:t>
                      </m:r>
                    </m:e>
                    <m: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𝐛</m:t>
                      </m:r>
                    </m:sub>
                  </m:sSub>
                  <m:sSub>
                    <m:sSubPr>
                      <m:ctrlP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acc>
                        <m:accPr>
                          <m:chr m:val="̂"/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acc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</m:acc>
                    </m:e>
                    <m: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𝐲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𝐛</m:t>
                      </m:r>
                    </m:sub>
                  </m:sSub>
                  <m:sSub>
                    <m:sSubPr>
                      <m:ctrlP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𝐈</m:t>
                      </m:r>
                      <m: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′</m:t>
                      </m:r>
                    </m:e>
                    <m: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𝐛</m:t>
                      </m:r>
                    </m:sub>
                  </m:sSub>
                  <m:sSub>
                    <m:sSubPr>
                      <m:ctrlP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𝐯</m:t>
                      </m:r>
                    </m:e>
                    <m: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𝐛</m:t>
                      </m:r>
                    </m:sub>
                  </m:sSub>
                  <m:r>
                    <m:rPr>
                      <m:nor/>
                    </m:rPr>
                    <a:rPr lang="it-IT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a:rPr lang="it-IT" sz="1100" b="1" i="1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</a:rPr>
                    <m:t>=</m:t>
                  </m:r>
                  <m:r>
                    <a:rPr lang="it-IT" sz="1100" b="1" i="1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</a:rPr>
                    <m:t>𝟎</m:t>
                  </m:r>
                </m:oMath>
              </a14:m>
              <a:r>
                <a:rPr lang="it-IT" sz="1100" b="0" i="0">
                  <a:solidFill>
                    <a:sysClr val="windowText" lastClr="000000"/>
                  </a:solidFill>
                </a:rPr>
                <a:t>  </a:t>
              </a:r>
            </a:p>
          </xdr:txBody>
        </xdr:sp>
      </mc:Choice>
      <mc:Fallback xmlns="">
        <xdr:sp macro="" textlink="">
          <xdr:nvSpPr>
            <xdr:cNvPr id="84" name="CasellaDiTesto 60">
              <a:extLst>
                <a:ext uri="{FF2B5EF4-FFF2-40B4-BE49-F238E27FC236}">
                  <a16:creationId xmlns:a16="http://schemas.microsoft.com/office/drawing/2014/main" id="{2694AAAA-88D3-7FFF-F866-E09A79B71BD5}"/>
                </a:ext>
              </a:extLst>
            </xdr:cNvPr>
            <xdr:cNvSpPr txBox="1"/>
          </xdr:nvSpPr>
          <xdr:spPr>
            <a:xfrm>
              <a:off x="24929851" y="13902971"/>
              <a:ext cx="2594115" cy="1943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it-I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1: </a:t>
              </a:r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𝐫_(𝐯,𝐛,𝐨𝐮𝐭)</a:t>
              </a:r>
              <a:r>
                <a:rPr lang="it-IT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𝐐 ̂_(𝐲,𝐛)</a:t>
              </a:r>
              <a:r>
                <a:rPr lang="it-IT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it-I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r>
                <a:rPr lang="it-IT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−</a:t>
              </a:r>
              <a:r>
                <a:rPr lang="it-IT" sz="11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𝐫_(𝐯,𝐛,𝐢𝐧)</a:t>
              </a:r>
              <a:r>
                <a:rPr lang="it-IT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𝐮_𝐛 𝐗 ̂_(𝐲,𝐛) 〖𝐈′〗_𝐛 𝐯_𝐛</a:t>
              </a:r>
              <a:r>
                <a:rPr lang="it-IT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it-I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r>
                <a:rPr lang="it-IT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=𝟎</a:t>
              </a:r>
              <a:r>
                <a:rPr lang="it-IT" sz="1100" b="0" i="0">
                  <a:solidFill>
                    <a:sysClr val="windowText" lastClr="000000"/>
                  </a:solidFill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43</xdr:col>
      <xdr:colOff>25042</xdr:colOff>
      <xdr:row>25</xdr:row>
      <xdr:rowOff>86965</xdr:rowOff>
    </xdr:from>
    <xdr:ext cx="18639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CasellaDiTesto 60">
              <a:extLst>
                <a:ext uri="{FF2B5EF4-FFF2-40B4-BE49-F238E27FC236}">
                  <a16:creationId xmlns:a16="http://schemas.microsoft.com/office/drawing/2014/main" id="{B6D9CFE9-5699-8502-DD24-A7EC6D4F541D}"/>
                </a:ext>
              </a:extLst>
            </xdr:cNvPr>
            <xdr:cNvSpPr txBox="1"/>
          </xdr:nvSpPr>
          <xdr:spPr>
            <a:xfrm>
              <a:off x="14315303" y="3908008"/>
              <a:ext cx="18639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𝐮</m:t>
                        </m:r>
                      </m:e>
                      <m:sub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𝐛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85" name="CasellaDiTesto 60">
              <a:extLst>
                <a:ext uri="{FF2B5EF4-FFF2-40B4-BE49-F238E27FC236}">
                  <a16:creationId xmlns:a16="http://schemas.microsoft.com/office/drawing/2014/main" id="{B6D9CFE9-5699-8502-DD24-A7EC6D4F541D}"/>
                </a:ext>
              </a:extLst>
            </xdr:cNvPr>
            <xdr:cNvSpPr txBox="1"/>
          </xdr:nvSpPr>
          <xdr:spPr>
            <a:xfrm>
              <a:off x="14315303" y="3908008"/>
              <a:ext cx="18639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latin typeface="Cambria Math" panose="02040503050406030204" pitchFamily="18" charset="0"/>
                </a:rPr>
                <a:t>𝐮_𝐛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43</xdr:col>
      <xdr:colOff>25042</xdr:colOff>
      <xdr:row>37</xdr:row>
      <xdr:rowOff>164269</xdr:rowOff>
    </xdr:from>
    <xdr:ext cx="15145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CasellaDiTesto 60">
              <a:extLst>
                <a:ext uri="{FF2B5EF4-FFF2-40B4-BE49-F238E27FC236}">
                  <a16:creationId xmlns:a16="http://schemas.microsoft.com/office/drawing/2014/main" id="{94A5FD2C-3A8E-1E3F-665B-16686DBC0C53}"/>
                </a:ext>
              </a:extLst>
            </xdr:cNvPr>
            <xdr:cNvSpPr txBox="1"/>
          </xdr:nvSpPr>
          <xdr:spPr>
            <a:xfrm>
              <a:off x="14315303" y="5973139"/>
              <a:ext cx="15145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𝐈</m:t>
                        </m:r>
                      </m:e>
                      <m:sub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𝐛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87" name="CasellaDiTesto 60">
              <a:extLst>
                <a:ext uri="{FF2B5EF4-FFF2-40B4-BE49-F238E27FC236}">
                  <a16:creationId xmlns:a16="http://schemas.microsoft.com/office/drawing/2014/main" id="{94A5FD2C-3A8E-1E3F-665B-16686DBC0C53}"/>
                </a:ext>
              </a:extLst>
            </xdr:cNvPr>
            <xdr:cNvSpPr txBox="1"/>
          </xdr:nvSpPr>
          <xdr:spPr>
            <a:xfrm>
              <a:off x="14315303" y="5973139"/>
              <a:ext cx="15145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latin typeface="Cambria Math" panose="02040503050406030204" pitchFamily="18" charset="0"/>
                </a:rPr>
                <a:t>𝐈_𝐛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29</xdr:col>
      <xdr:colOff>25043</xdr:colOff>
      <xdr:row>37</xdr:row>
      <xdr:rowOff>164269</xdr:rowOff>
    </xdr:from>
    <xdr:ext cx="169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CasellaDiTesto 60">
              <a:extLst>
                <a:ext uri="{FF2B5EF4-FFF2-40B4-BE49-F238E27FC236}">
                  <a16:creationId xmlns:a16="http://schemas.microsoft.com/office/drawing/2014/main" id="{DB148EB5-7150-90EE-23FC-10767BB3CA02}"/>
                </a:ext>
              </a:extLst>
            </xdr:cNvPr>
            <xdr:cNvSpPr txBox="1"/>
          </xdr:nvSpPr>
          <xdr:spPr>
            <a:xfrm>
              <a:off x="8594782" y="5973139"/>
              <a:ext cx="169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𝐯</m:t>
                        </m:r>
                      </m:e>
                      <m:sub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𝐛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88" name="CasellaDiTesto 60">
              <a:extLst>
                <a:ext uri="{FF2B5EF4-FFF2-40B4-BE49-F238E27FC236}">
                  <a16:creationId xmlns:a16="http://schemas.microsoft.com/office/drawing/2014/main" id="{DB148EB5-7150-90EE-23FC-10767BB3CA02}"/>
                </a:ext>
              </a:extLst>
            </xdr:cNvPr>
            <xdr:cNvSpPr txBox="1"/>
          </xdr:nvSpPr>
          <xdr:spPr>
            <a:xfrm>
              <a:off x="8594782" y="5973139"/>
              <a:ext cx="169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latin typeface="Cambria Math" panose="02040503050406030204" pitchFamily="18" charset="0"/>
                </a:rPr>
                <a:t>𝐯_𝐛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41</xdr:col>
      <xdr:colOff>290525</xdr:colOff>
      <xdr:row>97</xdr:row>
      <xdr:rowOff>145042</xdr:rowOff>
    </xdr:from>
    <xdr:ext cx="272895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CasellaDiTesto 60">
              <a:extLst>
                <a:ext uri="{FF2B5EF4-FFF2-40B4-BE49-F238E27FC236}">
                  <a16:creationId xmlns:a16="http://schemas.microsoft.com/office/drawing/2014/main" id="{20162E9A-129A-4116-B6B9-5AAB0008C19F}"/>
                </a:ext>
              </a:extLst>
            </xdr:cNvPr>
            <xdr:cNvSpPr txBox="1"/>
          </xdr:nvSpPr>
          <xdr:spPr>
            <a:xfrm>
              <a:off x="13763568" y="14567825"/>
              <a:ext cx="272895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𝐗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𝐲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𝐛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89" name="CasellaDiTesto 60">
              <a:extLst>
                <a:ext uri="{FF2B5EF4-FFF2-40B4-BE49-F238E27FC236}">
                  <a16:creationId xmlns:a16="http://schemas.microsoft.com/office/drawing/2014/main" id="{20162E9A-129A-4116-B6B9-5AAB0008C19F}"/>
                </a:ext>
              </a:extLst>
            </xdr:cNvPr>
            <xdr:cNvSpPr txBox="1"/>
          </xdr:nvSpPr>
          <xdr:spPr>
            <a:xfrm>
              <a:off x="13763568" y="14567825"/>
              <a:ext cx="272895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𝐗_(𝐲,𝐛)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31</xdr:col>
      <xdr:colOff>78765</xdr:colOff>
      <xdr:row>142</xdr:row>
      <xdr:rowOff>107228</xdr:rowOff>
    </xdr:from>
    <xdr:ext cx="38010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CasellaDiTesto 60">
              <a:extLst>
                <a:ext uri="{FF2B5EF4-FFF2-40B4-BE49-F238E27FC236}">
                  <a16:creationId xmlns:a16="http://schemas.microsoft.com/office/drawing/2014/main" id="{BB7C2E3D-B99B-42E7-96C8-37420A9BB3A9}"/>
                </a:ext>
              </a:extLst>
            </xdr:cNvPr>
            <xdr:cNvSpPr txBox="1"/>
          </xdr:nvSpPr>
          <xdr:spPr>
            <a:xfrm>
              <a:off x="16135194" y="22218835"/>
              <a:ext cx="380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𝐑</m:t>
                    </m:r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𝐑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𝐭𝐨𝐭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90" name="CasellaDiTesto 60">
              <a:extLst>
                <a:ext uri="{FF2B5EF4-FFF2-40B4-BE49-F238E27FC236}">
                  <a16:creationId xmlns:a16="http://schemas.microsoft.com/office/drawing/2014/main" id="{BB7C2E3D-B99B-42E7-96C8-37420A9BB3A9}"/>
                </a:ext>
              </a:extLst>
            </xdr:cNvPr>
            <xdr:cNvSpPr txBox="1"/>
          </xdr:nvSpPr>
          <xdr:spPr>
            <a:xfrm>
              <a:off x="16135194" y="22218835"/>
              <a:ext cx="380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𝐑𝐑_𝐭𝐨𝐭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30</xdr:col>
      <xdr:colOff>32107</xdr:colOff>
      <xdr:row>145</xdr:row>
      <xdr:rowOff>1111</xdr:rowOff>
    </xdr:from>
    <xdr:ext cx="20223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CasellaDiTesto 60">
              <a:extLst>
                <a:ext uri="{FF2B5EF4-FFF2-40B4-BE49-F238E27FC236}">
                  <a16:creationId xmlns:a16="http://schemas.microsoft.com/office/drawing/2014/main" id="{A9F1F027-0B81-4CFB-91C0-2FFEA86ADF42}"/>
                </a:ext>
              </a:extLst>
            </xdr:cNvPr>
            <xdr:cNvSpPr txBox="1"/>
          </xdr:nvSpPr>
          <xdr:spPr>
            <a:xfrm>
              <a:off x="15115225" y="22883523"/>
              <a:ext cx="2022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𝐮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01" name="CasellaDiTesto 60">
              <a:extLst>
                <a:ext uri="{FF2B5EF4-FFF2-40B4-BE49-F238E27FC236}">
                  <a16:creationId xmlns:a16="http://schemas.microsoft.com/office/drawing/2014/main" id="{A9F1F027-0B81-4CFB-91C0-2FFEA86ADF42}"/>
                </a:ext>
              </a:extLst>
            </xdr:cNvPr>
            <xdr:cNvSpPr txBox="1"/>
          </xdr:nvSpPr>
          <xdr:spPr>
            <a:xfrm>
              <a:off x="15115225" y="22883523"/>
              <a:ext cx="2022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𝐑_𝐮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47</xdr:col>
      <xdr:colOff>65752</xdr:colOff>
      <xdr:row>144</xdr:row>
      <xdr:rowOff>20348</xdr:rowOff>
    </xdr:from>
    <xdr:ext cx="19537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CasellaDiTesto 60">
              <a:extLst>
                <a:ext uri="{FF2B5EF4-FFF2-40B4-BE49-F238E27FC236}">
                  <a16:creationId xmlns:a16="http://schemas.microsoft.com/office/drawing/2014/main" id="{00E1CF6B-1069-4795-9335-D5F73AAEEAD4}"/>
                </a:ext>
              </a:extLst>
            </xdr:cNvPr>
            <xdr:cNvSpPr txBox="1"/>
          </xdr:nvSpPr>
          <xdr:spPr>
            <a:xfrm>
              <a:off x="22582852" y="22280273"/>
              <a:ext cx="19537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𝐞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05" name="CasellaDiTesto 60">
              <a:extLst>
                <a:ext uri="{FF2B5EF4-FFF2-40B4-BE49-F238E27FC236}">
                  <a16:creationId xmlns:a16="http://schemas.microsoft.com/office/drawing/2014/main" id="{00E1CF6B-1069-4795-9335-D5F73AAEEAD4}"/>
                </a:ext>
              </a:extLst>
            </xdr:cNvPr>
            <xdr:cNvSpPr txBox="1"/>
          </xdr:nvSpPr>
          <xdr:spPr>
            <a:xfrm>
              <a:off x="22582852" y="22280273"/>
              <a:ext cx="19537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𝐑_𝐞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47</xdr:col>
      <xdr:colOff>298371</xdr:colOff>
      <xdr:row>56</xdr:row>
      <xdr:rowOff>120372</xdr:rowOff>
    </xdr:from>
    <xdr:ext cx="1866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CasellaDiTesto 60">
              <a:extLst>
                <a:ext uri="{FF2B5EF4-FFF2-40B4-BE49-F238E27FC236}">
                  <a16:creationId xmlns:a16="http://schemas.microsoft.com/office/drawing/2014/main" id="{A4A60315-9EB9-AFC9-49D1-CC14B2B32631}"/>
                </a:ext>
              </a:extLst>
            </xdr:cNvPr>
            <xdr:cNvSpPr txBox="1"/>
          </xdr:nvSpPr>
          <xdr:spPr>
            <a:xfrm>
              <a:off x="16223067" y="8745329"/>
              <a:ext cx="186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𝐗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𝐞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11" name="CasellaDiTesto 60">
              <a:extLst>
                <a:ext uri="{FF2B5EF4-FFF2-40B4-BE49-F238E27FC236}">
                  <a16:creationId xmlns:a16="http://schemas.microsoft.com/office/drawing/2014/main" id="{A4A60315-9EB9-AFC9-49D1-CC14B2B32631}"/>
                </a:ext>
              </a:extLst>
            </xdr:cNvPr>
            <xdr:cNvSpPr txBox="1"/>
          </xdr:nvSpPr>
          <xdr:spPr>
            <a:xfrm>
              <a:off x="16223067" y="8745329"/>
              <a:ext cx="186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𝐗_𝐞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twoCellAnchor>
    <xdr:from>
      <xdr:col>37</xdr:col>
      <xdr:colOff>6386</xdr:colOff>
      <xdr:row>96</xdr:row>
      <xdr:rowOff>114802</xdr:rowOff>
    </xdr:from>
    <xdr:to>
      <xdr:col>46</xdr:col>
      <xdr:colOff>3626</xdr:colOff>
      <xdr:row>97</xdr:row>
      <xdr:rowOff>124992</xdr:rowOff>
    </xdr:to>
    <xdr:sp macro="" textlink="">
      <xdr:nvSpPr>
        <xdr:cNvPr id="114" name="Right Brace 113">
          <a:extLst>
            <a:ext uri="{FF2B5EF4-FFF2-40B4-BE49-F238E27FC236}">
              <a16:creationId xmlns:a16="http://schemas.microsoft.com/office/drawing/2014/main" id="{BE4FA9C7-EFA5-CBFA-852F-C9F7ACDE4D23}"/>
            </a:ext>
          </a:extLst>
        </xdr:cNvPr>
        <xdr:cNvSpPr/>
      </xdr:nvSpPr>
      <xdr:spPr>
        <a:xfrm rot="16200000">
          <a:off x="13261642" y="13236469"/>
          <a:ext cx="178709" cy="3624067"/>
        </a:xfrm>
        <a:prstGeom prst="rightBrac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25</xdr:col>
      <xdr:colOff>405851</xdr:colOff>
      <xdr:row>96</xdr:row>
      <xdr:rowOff>96631</xdr:rowOff>
    </xdr:from>
    <xdr:to>
      <xdr:col>30</xdr:col>
      <xdr:colOff>5522</xdr:colOff>
      <xdr:row>97</xdr:row>
      <xdr:rowOff>99391</xdr:rowOff>
    </xdr:to>
    <xdr:sp macro="" textlink="">
      <xdr:nvSpPr>
        <xdr:cNvPr id="115" name="Right Brace 114">
          <a:extLst>
            <a:ext uri="{FF2B5EF4-FFF2-40B4-BE49-F238E27FC236}">
              <a16:creationId xmlns:a16="http://schemas.microsoft.com/office/drawing/2014/main" id="{09EF6E13-8444-7924-A0A4-1E8BB4CDC189}"/>
            </a:ext>
          </a:extLst>
        </xdr:cNvPr>
        <xdr:cNvSpPr/>
      </xdr:nvSpPr>
      <xdr:spPr>
        <a:xfrm rot="16200000">
          <a:off x="8078306" y="13616610"/>
          <a:ext cx="168413" cy="1642715"/>
        </a:xfrm>
        <a:prstGeom prst="rightBrac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oneCellAnchor>
    <xdr:from>
      <xdr:col>24</xdr:col>
      <xdr:colOff>85162</xdr:colOff>
      <xdr:row>77</xdr:row>
      <xdr:rowOff>106462</xdr:rowOff>
    </xdr:from>
    <xdr:ext cx="429925" cy="1847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CasellaDiTesto 60">
              <a:extLst>
                <a:ext uri="{FF2B5EF4-FFF2-40B4-BE49-F238E27FC236}">
                  <a16:creationId xmlns:a16="http://schemas.microsoft.com/office/drawing/2014/main" id="{C1A4B08B-EFAD-387D-635D-7FCF138F5C8D}"/>
                </a:ext>
              </a:extLst>
            </xdr:cNvPr>
            <xdr:cNvSpPr txBox="1"/>
          </xdr:nvSpPr>
          <xdr:spPr>
            <a:xfrm>
              <a:off x="12097868" y="12287256"/>
              <a:ext cx="429925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𝐯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𝐞𝐧𝐯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𝐩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16" name="CasellaDiTesto 60">
              <a:extLst>
                <a:ext uri="{FF2B5EF4-FFF2-40B4-BE49-F238E27FC236}">
                  <a16:creationId xmlns:a16="http://schemas.microsoft.com/office/drawing/2014/main" id="{C1A4B08B-EFAD-387D-635D-7FCF138F5C8D}"/>
                </a:ext>
              </a:extLst>
            </xdr:cNvPr>
            <xdr:cNvSpPr txBox="1"/>
          </xdr:nvSpPr>
          <xdr:spPr>
            <a:xfrm>
              <a:off x="12097868" y="12287256"/>
              <a:ext cx="429925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𝐫_(𝐯,𝐞𝐧𝐯,𝐩)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31</xdr:col>
      <xdr:colOff>78765</xdr:colOff>
      <xdr:row>84</xdr:row>
      <xdr:rowOff>105996</xdr:rowOff>
    </xdr:from>
    <xdr:ext cx="16087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CasellaDiTesto 60">
              <a:extLst>
                <a:ext uri="{FF2B5EF4-FFF2-40B4-BE49-F238E27FC236}">
                  <a16:creationId xmlns:a16="http://schemas.microsoft.com/office/drawing/2014/main" id="{4A57BCB2-791B-6A59-5718-9AB6ABB3C754}"/>
                </a:ext>
              </a:extLst>
            </xdr:cNvPr>
            <xdr:cNvSpPr txBox="1"/>
          </xdr:nvSpPr>
          <xdr:spPr>
            <a:xfrm>
              <a:off x="9465722" y="12872257"/>
              <a:ext cx="1608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𝐓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117" name="CasellaDiTesto 60">
              <a:extLst>
                <a:ext uri="{FF2B5EF4-FFF2-40B4-BE49-F238E27FC236}">
                  <a16:creationId xmlns:a16="http://schemas.microsoft.com/office/drawing/2014/main" id="{4A57BCB2-791B-6A59-5718-9AB6ABB3C754}"/>
                </a:ext>
              </a:extLst>
            </xdr:cNvPr>
            <xdr:cNvSpPr txBox="1"/>
          </xdr:nvSpPr>
          <xdr:spPr>
            <a:xfrm>
              <a:off x="9465722" y="12872257"/>
              <a:ext cx="1608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𝐫_𝐓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33</xdr:col>
      <xdr:colOff>226228</xdr:colOff>
      <xdr:row>84</xdr:row>
      <xdr:rowOff>105996</xdr:rowOff>
    </xdr:from>
    <xdr:ext cx="15408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CasellaDiTesto 60">
              <a:extLst>
                <a:ext uri="{FF2B5EF4-FFF2-40B4-BE49-F238E27FC236}">
                  <a16:creationId xmlns:a16="http://schemas.microsoft.com/office/drawing/2014/main" id="{1C909151-BA30-5D32-1145-C14D97C7B9BF}"/>
                </a:ext>
              </a:extLst>
            </xdr:cNvPr>
            <xdr:cNvSpPr txBox="1"/>
          </xdr:nvSpPr>
          <xdr:spPr>
            <a:xfrm>
              <a:off x="10430402" y="12872257"/>
              <a:ext cx="1540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𝐂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118" name="CasellaDiTesto 60">
              <a:extLst>
                <a:ext uri="{FF2B5EF4-FFF2-40B4-BE49-F238E27FC236}">
                  <a16:creationId xmlns:a16="http://schemas.microsoft.com/office/drawing/2014/main" id="{1C909151-BA30-5D32-1145-C14D97C7B9BF}"/>
                </a:ext>
              </a:extLst>
            </xdr:cNvPr>
            <xdr:cNvSpPr txBox="1"/>
          </xdr:nvSpPr>
          <xdr:spPr>
            <a:xfrm>
              <a:off x="10430402" y="12872257"/>
              <a:ext cx="1540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𝐫_𝐂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32</xdr:col>
      <xdr:colOff>45960</xdr:colOff>
      <xdr:row>84</xdr:row>
      <xdr:rowOff>105996</xdr:rowOff>
    </xdr:from>
    <xdr:ext cx="16087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CasellaDiTesto 60">
              <a:extLst>
                <a:ext uri="{FF2B5EF4-FFF2-40B4-BE49-F238E27FC236}">
                  <a16:creationId xmlns:a16="http://schemas.microsoft.com/office/drawing/2014/main" id="{637D0DD3-369F-09FD-CE9F-43208D032BF6}"/>
                </a:ext>
              </a:extLst>
            </xdr:cNvPr>
            <xdr:cNvSpPr txBox="1"/>
          </xdr:nvSpPr>
          <xdr:spPr>
            <a:xfrm>
              <a:off x="9841525" y="12872257"/>
              <a:ext cx="1608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𝐓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19" name="CasellaDiTesto 60">
              <a:extLst>
                <a:ext uri="{FF2B5EF4-FFF2-40B4-BE49-F238E27FC236}">
                  <a16:creationId xmlns:a16="http://schemas.microsoft.com/office/drawing/2014/main" id="{637D0DD3-369F-09FD-CE9F-43208D032BF6}"/>
                </a:ext>
              </a:extLst>
            </xdr:cNvPr>
            <xdr:cNvSpPr txBox="1"/>
          </xdr:nvSpPr>
          <xdr:spPr>
            <a:xfrm>
              <a:off x="9841525" y="12872257"/>
              <a:ext cx="1608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𝐫_𝐓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34</xdr:col>
      <xdr:colOff>156070</xdr:colOff>
      <xdr:row>84</xdr:row>
      <xdr:rowOff>105996</xdr:rowOff>
    </xdr:from>
    <xdr:ext cx="15408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CasellaDiTesto 60">
              <a:extLst>
                <a:ext uri="{FF2B5EF4-FFF2-40B4-BE49-F238E27FC236}">
                  <a16:creationId xmlns:a16="http://schemas.microsoft.com/office/drawing/2014/main" id="{BEAFCF32-6311-46AB-A648-8C660DF4C7CA}"/>
                </a:ext>
              </a:extLst>
            </xdr:cNvPr>
            <xdr:cNvSpPr txBox="1"/>
          </xdr:nvSpPr>
          <xdr:spPr>
            <a:xfrm>
              <a:off x="10768853" y="12872257"/>
              <a:ext cx="1540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𝐂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20" name="CasellaDiTesto 60">
              <a:extLst>
                <a:ext uri="{FF2B5EF4-FFF2-40B4-BE49-F238E27FC236}">
                  <a16:creationId xmlns:a16="http://schemas.microsoft.com/office/drawing/2014/main" id="{BEAFCF32-6311-46AB-A648-8C660DF4C7CA}"/>
                </a:ext>
              </a:extLst>
            </xdr:cNvPr>
            <xdr:cNvSpPr txBox="1"/>
          </xdr:nvSpPr>
          <xdr:spPr>
            <a:xfrm>
              <a:off x="10768853" y="12872257"/>
              <a:ext cx="1540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𝐫_𝐂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31</xdr:col>
      <xdr:colOff>78765</xdr:colOff>
      <xdr:row>150</xdr:row>
      <xdr:rowOff>126465</xdr:rowOff>
    </xdr:from>
    <xdr:ext cx="41043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CasellaDiTesto 60">
              <a:extLst>
                <a:ext uri="{FF2B5EF4-FFF2-40B4-BE49-F238E27FC236}">
                  <a16:creationId xmlns:a16="http://schemas.microsoft.com/office/drawing/2014/main" id="{05DE4F02-ED13-5782-5B18-17A39D53A58C}"/>
                </a:ext>
              </a:extLst>
            </xdr:cNvPr>
            <xdr:cNvSpPr txBox="1"/>
          </xdr:nvSpPr>
          <xdr:spPr>
            <a:xfrm>
              <a:off x="9465722" y="21672291"/>
              <a:ext cx="41043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𝐑𝐑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𝐯𝐮𝐞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122" name="CasellaDiTesto 60">
              <a:extLst>
                <a:ext uri="{FF2B5EF4-FFF2-40B4-BE49-F238E27FC236}">
                  <a16:creationId xmlns:a16="http://schemas.microsoft.com/office/drawing/2014/main" id="{05DE4F02-ED13-5782-5B18-17A39D53A58C}"/>
                </a:ext>
              </a:extLst>
            </xdr:cNvPr>
            <xdr:cNvSpPr txBox="1"/>
          </xdr:nvSpPr>
          <xdr:spPr>
            <a:xfrm>
              <a:off x="9465722" y="21672291"/>
              <a:ext cx="41043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〖𝐑𝐑〗_𝐯𝐮𝐞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34</xdr:col>
      <xdr:colOff>245733</xdr:colOff>
      <xdr:row>150</xdr:row>
      <xdr:rowOff>123290</xdr:rowOff>
    </xdr:from>
    <xdr:ext cx="435504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CasellaDiTesto 60">
              <a:extLst>
                <a:ext uri="{FF2B5EF4-FFF2-40B4-BE49-F238E27FC236}">
                  <a16:creationId xmlns:a16="http://schemas.microsoft.com/office/drawing/2014/main" id="{659CF61F-05D3-C812-ECE2-B68BC2FB9ED4}"/>
                </a:ext>
              </a:extLst>
            </xdr:cNvPr>
            <xdr:cNvSpPr txBox="1"/>
          </xdr:nvSpPr>
          <xdr:spPr>
            <a:xfrm>
              <a:off x="15466683" y="25002590"/>
              <a:ext cx="435504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𝐑𝐑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𝐯𝐮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𝐂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123" name="CasellaDiTesto 60">
              <a:extLst>
                <a:ext uri="{FF2B5EF4-FFF2-40B4-BE49-F238E27FC236}">
                  <a16:creationId xmlns:a16="http://schemas.microsoft.com/office/drawing/2014/main" id="{659CF61F-05D3-C812-ECE2-B68BC2FB9ED4}"/>
                </a:ext>
              </a:extLst>
            </xdr:cNvPr>
            <xdr:cNvSpPr txBox="1"/>
          </xdr:nvSpPr>
          <xdr:spPr>
            <a:xfrm>
              <a:off x="15466683" y="25002590"/>
              <a:ext cx="435504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〖𝐑𝐑〗_(𝐯𝐮,𝐂)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32</xdr:col>
      <xdr:colOff>110515</xdr:colOff>
      <xdr:row>150</xdr:row>
      <xdr:rowOff>126465</xdr:rowOff>
    </xdr:from>
    <xdr:ext cx="25789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CasellaDiTesto 60">
              <a:extLst>
                <a:ext uri="{FF2B5EF4-FFF2-40B4-BE49-F238E27FC236}">
                  <a16:creationId xmlns:a16="http://schemas.microsoft.com/office/drawing/2014/main" id="{C62EA442-4972-1870-D111-0DB2AB386376}"/>
                </a:ext>
              </a:extLst>
            </xdr:cNvPr>
            <xdr:cNvSpPr txBox="1"/>
          </xdr:nvSpPr>
          <xdr:spPr>
            <a:xfrm>
              <a:off x="9883165" y="21437065"/>
              <a:ext cx="25789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𝐯𝐮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24" name="CasellaDiTesto 60">
              <a:extLst>
                <a:ext uri="{FF2B5EF4-FFF2-40B4-BE49-F238E27FC236}">
                  <a16:creationId xmlns:a16="http://schemas.microsoft.com/office/drawing/2014/main" id="{C62EA442-4972-1870-D111-0DB2AB386376}"/>
                </a:ext>
              </a:extLst>
            </xdr:cNvPr>
            <xdr:cNvSpPr txBox="1"/>
          </xdr:nvSpPr>
          <xdr:spPr>
            <a:xfrm>
              <a:off x="9883165" y="21437065"/>
              <a:ext cx="25789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𝐑_𝐯𝐮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47</xdr:col>
      <xdr:colOff>59715</xdr:colOff>
      <xdr:row>150</xdr:row>
      <xdr:rowOff>123290</xdr:rowOff>
    </xdr:from>
    <xdr:ext cx="2510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CasellaDiTesto 60">
              <a:extLst>
                <a:ext uri="{FF2B5EF4-FFF2-40B4-BE49-F238E27FC236}">
                  <a16:creationId xmlns:a16="http://schemas.microsoft.com/office/drawing/2014/main" id="{A7AD899E-F610-BBEC-4604-2F48E6D040C6}"/>
                </a:ext>
              </a:extLst>
            </xdr:cNvPr>
            <xdr:cNvSpPr txBox="1"/>
          </xdr:nvSpPr>
          <xdr:spPr>
            <a:xfrm>
              <a:off x="20605140" y="25002590"/>
              <a:ext cx="2510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𝐯𝐞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25" name="CasellaDiTesto 60">
              <a:extLst>
                <a:ext uri="{FF2B5EF4-FFF2-40B4-BE49-F238E27FC236}">
                  <a16:creationId xmlns:a16="http://schemas.microsoft.com/office/drawing/2014/main" id="{A7AD899E-F610-BBEC-4604-2F48E6D040C6}"/>
                </a:ext>
              </a:extLst>
            </xdr:cNvPr>
            <xdr:cNvSpPr txBox="1"/>
          </xdr:nvSpPr>
          <xdr:spPr>
            <a:xfrm>
              <a:off x="20605140" y="25002590"/>
              <a:ext cx="2510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𝐑_𝐯𝐞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35</xdr:col>
      <xdr:colOff>351815</xdr:colOff>
      <xdr:row>150</xdr:row>
      <xdr:rowOff>126465</xdr:rowOff>
    </xdr:from>
    <xdr:ext cx="339517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CasellaDiTesto 60">
              <a:extLst>
                <a:ext uri="{FF2B5EF4-FFF2-40B4-BE49-F238E27FC236}">
                  <a16:creationId xmlns:a16="http://schemas.microsoft.com/office/drawing/2014/main" id="{9723934A-DE72-8C26-2E7B-36AEE1D16943}"/>
                </a:ext>
              </a:extLst>
            </xdr:cNvPr>
            <xdr:cNvSpPr txBox="1"/>
          </xdr:nvSpPr>
          <xdr:spPr>
            <a:xfrm>
              <a:off x="11343665" y="21437065"/>
              <a:ext cx="339517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𝐯𝐮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𝐂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26" name="CasellaDiTesto 60">
              <a:extLst>
                <a:ext uri="{FF2B5EF4-FFF2-40B4-BE49-F238E27FC236}">
                  <a16:creationId xmlns:a16="http://schemas.microsoft.com/office/drawing/2014/main" id="{9723934A-DE72-8C26-2E7B-36AEE1D16943}"/>
                </a:ext>
              </a:extLst>
            </xdr:cNvPr>
            <xdr:cNvSpPr txBox="1"/>
          </xdr:nvSpPr>
          <xdr:spPr>
            <a:xfrm>
              <a:off x="11343665" y="21437065"/>
              <a:ext cx="339517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𝐑_(𝐯𝐮,𝐂)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31</xdr:col>
      <xdr:colOff>78765</xdr:colOff>
      <xdr:row>77</xdr:row>
      <xdr:rowOff>111518</xdr:rowOff>
    </xdr:from>
    <xdr:ext cx="21223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CasellaDiTesto 60">
              <a:extLst>
                <a:ext uri="{FF2B5EF4-FFF2-40B4-BE49-F238E27FC236}">
                  <a16:creationId xmlns:a16="http://schemas.microsoft.com/office/drawing/2014/main" id="{FE3ACEBE-A404-44FE-A4FF-F434D5C455B8}"/>
                </a:ext>
              </a:extLst>
            </xdr:cNvPr>
            <xdr:cNvSpPr txBox="1"/>
          </xdr:nvSpPr>
          <xdr:spPr>
            <a:xfrm>
              <a:off x="14993794" y="12292312"/>
              <a:ext cx="2122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𝐯𝐮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70" name="CasellaDiTesto 60">
              <a:extLst>
                <a:ext uri="{FF2B5EF4-FFF2-40B4-BE49-F238E27FC236}">
                  <a16:creationId xmlns:a16="http://schemas.microsoft.com/office/drawing/2014/main" id="{FE3ACEBE-A404-44FE-A4FF-F434D5C455B8}"/>
                </a:ext>
              </a:extLst>
            </xdr:cNvPr>
            <xdr:cNvSpPr txBox="1"/>
          </xdr:nvSpPr>
          <xdr:spPr>
            <a:xfrm>
              <a:off x="14993794" y="12292312"/>
              <a:ext cx="2122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𝐫_𝐯𝐮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31</xdr:col>
      <xdr:colOff>368845</xdr:colOff>
      <xdr:row>77</xdr:row>
      <xdr:rowOff>107188</xdr:rowOff>
    </xdr:from>
    <xdr:ext cx="21839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CasellaDiTesto 60">
              <a:extLst>
                <a:ext uri="{FF2B5EF4-FFF2-40B4-BE49-F238E27FC236}">
                  <a16:creationId xmlns:a16="http://schemas.microsoft.com/office/drawing/2014/main" id="{4D8482E3-63C2-4650-B700-C11F42AA6A6B}"/>
                </a:ext>
              </a:extLst>
            </xdr:cNvPr>
            <xdr:cNvSpPr txBox="1"/>
          </xdr:nvSpPr>
          <xdr:spPr>
            <a:xfrm>
              <a:off x="15283874" y="12287982"/>
              <a:ext cx="21839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𝐯𝐮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71" name="CasellaDiTesto 60">
              <a:extLst>
                <a:ext uri="{FF2B5EF4-FFF2-40B4-BE49-F238E27FC236}">
                  <a16:creationId xmlns:a16="http://schemas.microsoft.com/office/drawing/2014/main" id="{4D8482E3-63C2-4650-B700-C11F42AA6A6B}"/>
                </a:ext>
              </a:extLst>
            </xdr:cNvPr>
            <xdr:cNvSpPr txBox="1"/>
          </xdr:nvSpPr>
          <xdr:spPr>
            <a:xfrm>
              <a:off x="15283874" y="12287982"/>
              <a:ext cx="21839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𝐫_𝐯𝐮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40</xdr:col>
      <xdr:colOff>46458</xdr:colOff>
      <xdr:row>180</xdr:row>
      <xdr:rowOff>156353</xdr:rowOff>
    </xdr:from>
    <xdr:ext cx="18633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6" name="TextBox 73">
              <a:extLst>
                <a:ext uri="{FF2B5EF4-FFF2-40B4-BE49-F238E27FC236}">
                  <a16:creationId xmlns:a16="http://schemas.microsoft.com/office/drawing/2014/main" id="{42E6D9D8-6E24-46CC-9BD0-9BFAF6403F57}"/>
                </a:ext>
              </a:extLst>
            </xdr:cNvPr>
            <xdr:cNvSpPr txBox="1"/>
          </xdr:nvSpPr>
          <xdr:spPr>
            <a:xfrm>
              <a:off x="17823648" y="28621773"/>
              <a:ext cx="18633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𝐝𝐜</m:t>
                    </m:r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42E6D9D8-6E24-46CC-9BD0-9BFAF6403F57}"/>
                </a:ext>
              </a:extLst>
            </xdr:cNvPr>
            <xdr:cNvSpPr txBox="1"/>
          </xdr:nvSpPr>
          <xdr:spPr>
            <a:xfrm>
              <a:off x="17823648" y="28621773"/>
              <a:ext cx="18633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𝐝𝐜</a:t>
              </a:r>
              <a:endParaRPr lang="en-US" sz="1100" b="1" i="0" kern="1200"/>
            </a:p>
          </xdr:txBody>
        </xdr:sp>
      </mc:Fallback>
    </mc:AlternateContent>
    <xdr:clientData/>
  </xdr:oneCellAnchor>
  <xdr:twoCellAnchor>
    <xdr:from>
      <xdr:col>54</xdr:col>
      <xdr:colOff>47571</xdr:colOff>
      <xdr:row>173</xdr:row>
      <xdr:rowOff>117168</xdr:rowOff>
    </xdr:from>
    <xdr:to>
      <xdr:col>61</xdr:col>
      <xdr:colOff>143293</xdr:colOff>
      <xdr:row>177</xdr:row>
      <xdr:rowOff>59623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BF3C7834-F081-F601-7A9B-E02F00E5399F}"/>
                </a:ext>
              </a:extLst>
            </xdr:cNvPr>
            <xdr:cNvSpPr txBox="1"/>
          </xdr:nvSpPr>
          <xdr:spPr>
            <a:xfrm>
              <a:off x="23607195" y="27141195"/>
              <a:ext cx="2986939" cy="2627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0: 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𝐗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𝐡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𝐜𝐚𝐩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𝐧𝐬𝐭</m:t>
                        </m:r>
                      </m:sub>
                    </m:sSub>
                    <m:r>
                      <a:rPr lang="it-IT" sz="1100" b="1" i="1" kern="1200">
                        <a:latin typeface="Cambria Math" panose="02040503050406030204" pitchFamily="18" charset="0"/>
                      </a:rPr>
                      <m:t> </m:t>
                    </m:r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≤(</m:t>
                    </m:r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𝐚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𝐯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𝐡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𝐦𝐚𝐱</m:t>
                        </m:r>
                      </m:sub>
                    </m:sSub>
                    <m:r>
                      <a:rPr lang="it-IT" sz="11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>
                      <a:rPr lang="it-IT" sz="11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𝐜𝐚𝐩</m:t>
                    </m:r>
                    <m:r>
                      <a:rPr lang="it-IT" sz="11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_</m:t>
                    </m:r>
                    <m:r>
                      <a:rPr lang="it-IT" sz="11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𝐭𝐨</m:t>
                    </m:r>
                    <m:r>
                      <a:rPr lang="it-IT" sz="11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_</m:t>
                    </m:r>
                    <m:r>
                      <a:rPr lang="it-IT" sz="11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𝐚𝐜</m:t>
                    </m:r>
                    <m:sSub>
                      <m:sSubPr>
                        <m:ctrlPr>
                          <a:rPr lang="it-IT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𝐭</m:t>
                        </m:r>
                      </m:e>
                      <m:sub>
                        <m:r>
                          <a:rPr lang="it-IT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𝐡</m:t>
                        </m:r>
                      </m:sub>
                    </m:sSub>
                    <m:r>
                      <a:rPr lang="it-IT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𝐂𝐚𝐩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𝐨𝐩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 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𝐡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𝐧𝐬𝐭</m:t>
                        </m:r>
                      </m:sub>
                    </m:sSub>
                  </m:oMath>
                </m:oMathPara>
              </a14:m>
              <a:endParaRPr lang="it-IT" sz="1100" b="1" i="0" kern="1200"/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BF3C7834-F081-F601-7A9B-E02F00E5399F}"/>
                </a:ext>
              </a:extLst>
            </xdr:cNvPr>
            <xdr:cNvSpPr txBox="1"/>
          </xdr:nvSpPr>
          <xdr:spPr>
            <a:xfrm>
              <a:off x="23607195" y="27141195"/>
              <a:ext cx="2986939" cy="2627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algn="l"/>
              <a:r>
                <a:rPr lang="it-I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0: </a:t>
              </a:r>
              <a:r>
                <a:rPr lang="it-IT" sz="1100" b="1" i="0" kern="1200">
                  <a:latin typeface="Cambria Math" panose="02040503050406030204" pitchFamily="18" charset="0"/>
                </a:rPr>
                <a:t>𝐗_(𝐡,𝐜𝐚𝐩,𝐧𝐬𝐭)  ≤(𝐚𝐯_(𝐡,𝐦𝐚𝐱)</a:t>
              </a:r>
              <a:r>
                <a:rPr lang="it-IT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⋅</a:t>
              </a:r>
              <a:r>
                <a:rPr lang="it-IT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𝐜𝐚𝐩_𝐭𝐨_𝐚𝐜𝐭_𝐡)</a:t>
              </a:r>
              <a:r>
                <a:rPr lang="it-IT" sz="1100" b="1" i="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〖𝐂𝐚𝐩〗_(𝐨𝐩, 𝐡</a:t>
              </a:r>
              <a:r>
                <a:rPr lang="it-IT" sz="11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,𝐧𝐬𝐭</a:t>
              </a:r>
              <a:r>
                <a:rPr lang="it-IT" sz="1100" b="1" i="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it-IT" sz="1100" b="1" i="0" kern="1200"/>
            </a:p>
          </xdr:txBody>
        </xdr:sp>
      </mc:Fallback>
    </mc:AlternateContent>
    <xdr:clientData/>
  </xdr:twoCellAnchor>
  <xdr:twoCellAnchor>
    <xdr:from>
      <xdr:col>54</xdr:col>
      <xdr:colOff>84318</xdr:colOff>
      <xdr:row>177</xdr:row>
      <xdr:rowOff>158280</xdr:rowOff>
    </xdr:from>
    <xdr:to>
      <xdr:col>61</xdr:col>
      <xdr:colOff>36892</xdr:colOff>
      <xdr:row>179</xdr:row>
      <xdr:rowOff>61320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1" name="TextBox 107">
              <a:extLst>
                <a:ext uri="{FF2B5EF4-FFF2-40B4-BE49-F238E27FC236}">
                  <a16:creationId xmlns:a16="http://schemas.microsoft.com/office/drawing/2014/main" id="{DB422AE8-BAF9-4665-B68E-93A88F78168F}"/>
                </a:ext>
              </a:extLst>
            </xdr:cNvPr>
            <xdr:cNvSpPr txBox="1"/>
          </xdr:nvSpPr>
          <xdr:spPr>
            <a:xfrm>
              <a:off x="23643942" y="28143236"/>
              <a:ext cx="2843791" cy="2233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it-IT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0: 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𝐗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𝐲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  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𝐜𝐚𝐩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𝐧𝐬𝐭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≤</m:t>
                    </m:r>
                    <m:sSub>
                      <m:sSubPr>
                        <m:ctrlPr>
                          <a:rPr lang="it-IT" sz="1100" b="1" i="1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𝐂𝐚𝐩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𝐨𝐩</m:t>
                        </m:r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𝐧𝐬𝐭</m:t>
                        </m:r>
                      </m:sub>
                    </m:sSub>
                    <m:r>
                      <a:rPr lang="it-IT" sz="1100" b="0" i="1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(</m:t>
                    </m:r>
                    <m:r>
                      <a:rPr lang="it-IT" sz="1100" b="1" i="0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𝐚</m:t>
                    </m:r>
                    <m:sSub>
                      <m:sSubPr>
                        <m:ctrlPr>
                          <a:rPr lang="it-IT" sz="1100" b="1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𝐯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𝐲</m:t>
                        </m:r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𝐦𝐚𝐱</m:t>
                        </m:r>
                      </m:sub>
                    </m:sSub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⋅</m:t>
                    </m:r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𝐜𝐚𝐩</m:t>
                    </m:r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_</m:t>
                    </m:r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𝐭𝐨</m:t>
                    </m:r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_</m:t>
                    </m:r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𝐚𝐜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𝐭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𝐲</m:t>
                        </m:r>
                      </m:sub>
                    </m:sSub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it-IT" sz="1100" b="1" i="0" kern="1200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DB422AE8-BAF9-4665-B68E-93A88F78168F}"/>
                </a:ext>
              </a:extLst>
            </xdr:cNvPr>
            <xdr:cNvSpPr txBox="1"/>
          </xdr:nvSpPr>
          <xdr:spPr>
            <a:xfrm>
              <a:off x="23643942" y="28143236"/>
              <a:ext cx="2843791" cy="2233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algn="l"/>
              <a:r>
                <a:rPr lang="it-I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0: </a:t>
              </a:r>
              <a:r>
                <a:rPr lang="it-IT" sz="1100" b="1" i="0" kern="1200">
                  <a:latin typeface="Cambria Math" panose="02040503050406030204" pitchFamily="18" charset="0"/>
                </a:rPr>
                <a:t>𝐗_(𝐲,  𝐜𝐚𝐩,𝐧𝐬𝐭 )≤</a:t>
              </a:r>
              <a:r>
                <a:rPr lang="it-IT" sz="1100" b="1" i="0" kern="1200">
                  <a:solidFill>
                    <a:srgbClr val="FF0000"/>
                  </a:solidFill>
                  <a:latin typeface="Cambria Math" panose="02040503050406030204" pitchFamily="18" charset="0"/>
                </a:rPr>
                <a:t>〖𝐂𝐚𝐩〗_(𝐨𝐩,𝐧𝐬𝐭)</a:t>
              </a:r>
              <a:r>
                <a:rPr lang="it-IT" sz="1100" b="0" i="0" kern="1200">
                  <a:solidFill>
                    <a:schemeClr val="tx1"/>
                  </a:solidFill>
                  <a:latin typeface="Cambria Math" panose="02040503050406030204" pitchFamily="18" charset="0"/>
                </a:rPr>
                <a:t> (</a:t>
              </a:r>
              <a:r>
                <a:rPr lang="it-IT" sz="1100" b="1" i="0" kern="1200">
                  <a:solidFill>
                    <a:schemeClr val="tx1"/>
                  </a:solidFill>
                  <a:latin typeface="Cambria Math" panose="02040503050406030204" pitchFamily="18" charset="0"/>
                </a:rPr>
                <a:t>𝐚𝐯_(𝐲,𝐦𝐚𝐱)</a:t>
              </a:r>
              <a:r>
                <a:rPr lang="it-IT" sz="1100" b="1" i="0" kern="1200">
                  <a:latin typeface="Cambria Math" panose="02040503050406030204" pitchFamily="18" charset="0"/>
                </a:rPr>
                <a:t>⋅𝐜𝐚𝐩_𝐭𝐨_𝐚𝐜𝐭_𝐲)</a:t>
              </a:r>
              <a:endParaRPr lang="it-IT" sz="1100" b="1" i="0" kern="1200"/>
            </a:p>
          </xdr:txBody>
        </xdr:sp>
      </mc:Fallback>
    </mc:AlternateContent>
    <xdr:clientData/>
  </xdr:twoCellAnchor>
  <xdr:oneCellAnchor>
    <xdr:from>
      <xdr:col>38</xdr:col>
      <xdr:colOff>92405</xdr:colOff>
      <xdr:row>104</xdr:row>
      <xdr:rowOff>125327</xdr:rowOff>
    </xdr:from>
    <xdr:ext cx="383951" cy="1847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CasellaDiTesto 60">
              <a:extLst>
                <a:ext uri="{FF2B5EF4-FFF2-40B4-BE49-F238E27FC236}">
                  <a16:creationId xmlns:a16="http://schemas.microsoft.com/office/drawing/2014/main" id="{5831C47E-4F11-4B38-87C1-6CD0208FBFAE}"/>
                </a:ext>
              </a:extLst>
            </xdr:cNvPr>
            <xdr:cNvSpPr txBox="1"/>
          </xdr:nvSpPr>
          <xdr:spPr>
            <a:xfrm>
              <a:off x="18408980" y="17041727"/>
              <a:ext cx="383951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𝐗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𝐡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𝐜𝐚𝐩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30" name="CasellaDiTesto 60">
              <a:extLst>
                <a:ext uri="{FF2B5EF4-FFF2-40B4-BE49-F238E27FC236}">
                  <a16:creationId xmlns:a16="http://schemas.microsoft.com/office/drawing/2014/main" id="{5831C47E-4F11-4B38-87C1-6CD0208FBFAE}"/>
                </a:ext>
              </a:extLst>
            </xdr:cNvPr>
            <xdr:cNvSpPr txBox="1"/>
          </xdr:nvSpPr>
          <xdr:spPr>
            <a:xfrm>
              <a:off x="18408980" y="17041727"/>
              <a:ext cx="383951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𝐗_(𝐡, 𝐜𝐚𝐩)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37</xdr:col>
      <xdr:colOff>77541</xdr:colOff>
      <xdr:row>100</xdr:row>
      <xdr:rowOff>96612</xdr:rowOff>
    </xdr:from>
    <xdr:ext cx="552587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CasellaDiTesto 60">
              <a:extLst>
                <a:ext uri="{FF2B5EF4-FFF2-40B4-BE49-F238E27FC236}">
                  <a16:creationId xmlns:a16="http://schemas.microsoft.com/office/drawing/2014/main" id="{027D5803-C614-40A6-AD5E-6A6E587094C0}"/>
                </a:ext>
              </a:extLst>
            </xdr:cNvPr>
            <xdr:cNvSpPr txBox="1"/>
          </xdr:nvSpPr>
          <xdr:spPr>
            <a:xfrm>
              <a:off x="16527216" y="16879662"/>
              <a:ext cx="552587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𝐗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𝐲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𝐜𝐚𝐩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𝐧𝐬𝐭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31" name="CasellaDiTesto 60">
              <a:extLst>
                <a:ext uri="{FF2B5EF4-FFF2-40B4-BE49-F238E27FC236}">
                  <a16:creationId xmlns:a16="http://schemas.microsoft.com/office/drawing/2014/main" id="{027D5803-C614-40A6-AD5E-6A6E587094C0}"/>
                </a:ext>
              </a:extLst>
            </xdr:cNvPr>
            <xdr:cNvSpPr txBox="1"/>
          </xdr:nvSpPr>
          <xdr:spPr>
            <a:xfrm>
              <a:off x="16527216" y="16879662"/>
              <a:ext cx="552587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𝐗_(𝐲, 𝐜𝐚𝐩,𝐧𝐬𝐭)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twoCellAnchor>
    <xdr:from>
      <xdr:col>35</xdr:col>
      <xdr:colOff>26071</xdr:colOff>
      <xdr:row>99</xdr:row>
      <xdr:rowOff>54470</xdr:rowOff>
    </xdr:from>
    <xdr:to>
      <xdr:col>39</xdr:col>
      <xdr:colOff>387353</xdr:colOff>
      <xdr:row>100</xdr:row>
      <xdr:rowOff>95250</xdr:rowOff>
    </xdr:to>
    <xdr:sp macro="" textlink="">
      <xdr:nvSpPr>
        <xdr:cNvPr id="133" name="Right Brace 132">
          <a:extLst>
            <a:ext uri="{FF2B5EF4-FFF2-40B4-BE49-F238E27FC236}">
              <a16:creationId xmlns:a16="http://schemas.microsoft.com/office/drawing/2014/main" id="{98114535-7284-40CA-9E9B-156F6388043F}"/>
            </a:ext>
          </a:extLst>
        </xdr:cNvPr>
        <xdr:cNvSpPr/>
      </xdr:nvSpPr>
      <xdr:spPr>
        <a:xfrm rot="5400000">
          <a:off x="17974259" y="15291382"/>
          <a:ext cx="202705" cy="1999582"/>
        </a:xfrm>
        <a:prstGeom prst="rightBrace">
          <a:avLst>
            <a:gd name="adj1" fmla="val 0"/>
            <a:gd name="adj2" fmla="val 50000"/>
          </a:avLst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oneCellAnchor>
    <xdr:from>
      <xdr:col>35</xdr:col>
      <xdr:colOff>163541</xdr:colOff>
      <xdr:row>204</xdr:row>
      <xdr:rowOff>133469</xdr:rowOff>
    </xdr:from>
    <xdr:ext cx="275268" cy="1847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B5EF07B9-5FAC-C358-D378-128A553F713D}"/>
                </a:ext>
              </a:extLst>
            </xdr:cNvPr>
            <xdr:cNvSpPr txBox="1"/>
          </xdr:nvSpPr>
          <xdr:spPr>
            <a:xfrm>
              <a:off x="17251391" y="33118544"/>
              <a:ext cx="275268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𝐜𝐚𝐩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B5EF07B9-5FAC-C358-D378-128A553F713D}"/>
                </a:ext>
              </a:extLst>
            </xdr:cNvPr>
            <xdr:cNvSpPr txBox="1"/>
          </xdr:nvSpPr>
          <xdr:spPr>
            <a:xfrm>
              <a:off x="17251391" y="33118544"/>
              <a:ext cx="275268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𝐜_𝐜𝐚𝐩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45</xdr:col>
      <xdr:colOff>97352</xdr:colOff>
      <xdr:row>225</xdr:row>
      <xdr:rowOff>172764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D37521D6-50AA-4FC6-997C-A2E50E9C9DD3}"/>
            </a:ext>
          </a:extLst>
        </xdr:cNvPr>
        <xdr:cNvSpPr txBox="1"/>
      </xdr:nvSpPr>
      <xdr:spPr>
        <a:xfrm>
          <a:off x="18418482" y="295594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 i="0" kern="1200"/>
        </a:p>
      </xdr:txBody>
    </xdr:sp>
    <xdr:clientData/>
  </xdr:oneCellAnchor>
  <xdr:oneCellAnchor>
    <xdr:from>
      <xdr:col>32</xdr:col>
      <xdr:colOff>135856</xdr:colOff>
      <xdr:row>172</xdr:row>
      <xdr:rowOff>61663</xdr:rowOff>
    </xdr:from>
    <xdr:ext cx="65594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5" name="TextBox 144">
              <a:extLst>
                <a:ext uri="{FF2B5EF4-FFF2-40B4-BE49-F238E27FC236}">
                  <a16:creationId xmlns:a16="http://schemas.microsoft.com/office/drawing/2014/main" id="{5759CAAD-9929-4EC4-B65A-CA0301CE490C}"/>
                </a:ext>
              </a:extLst>
            </xdr:cNvPr>
            <xdr:cNvSpPr txBox="1"/>
          </xdr:nvSpPr>
          <xdr:spPr>
            <a:xfrm>
              <a:off x="14608798" y="27245844"/>
              <a:ext cx="65594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𝐭𝐞𝐜𝐡</m:t>
                    </m:r>
                    <m:r>
                      <a:rPr lang="it-IT" sz="1100" b="1" i="0" kern="120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_</m:t>
                    </m:r>
                    <m:r>
                      <a:rPr lang="it-IT" sz="1100" b="1" i="0" kern="120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𝐢𝐧𝐟𝐨</m:t>
                    </m:r>
                  </m:oMath>
                </m:oMathPara>
              </a14:m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5759CAAD-9929-4EC4-B65A-CA0301CE490C}"/>
                </a:ext>
              </a:extLst>
            </xdr:cNvPr>
            <xdr:cNvSpPr txBox="1"/>
          </xdr:nvSpPr>
          <xdr:spPr>
            <a:xfrm>
              <a:off x="14608798" y="27245844"/>
              <a:ext cx="65594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rgbClr val="FF0000"/>
                  </a:solidFill>
                  <a:latin typeface="Cambria Math" panose="02040503050406030204" pitchFamily="18" charset="0"/>
                </a:rPr>
                <a:t>𝐭𝐞𝐜𝐡_𝐢𝐧𝐟𝐨</a:t>
              </a:r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36</xdr:col>
      <xdr:colOff>398108</xdr:colOff>
      <xdr:row>187</xdr:row>
      <xdr:rowOff>123825</xdr:rowOff>
    </xdr:from>
    <xdr:ext cx="24763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0A3A5717-FACC-4B9C-BE14-F9FF08455623}"/>
                </a:ext>
              </a:extLst>
            </xdr:cNvPr>
            <xdr:cNvSpPr txBox="1"/>
          </xdr:nvSpPr>
          <xdr:spPr>
            <a:xfrm>
              <a:off x="17895533" y="30318075"/>
              <a:ext cx="2476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𝐚</m:t>
                    </m:r>
                    <m:sSub>
                      <m:sSubPr>
                        <m:ctrlPr>
                          <a:rPr lang="it-IT" sz="1100" b="1" i="1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𝐯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𝐡</m:t>
                        </m:r>
                      </m:sub>
                    </m:sSub>
                  </m:oMath>
                </m:oMathPara>
              </a14:m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0A3A5717-FACC-4B9C-BE14-F9FF08455623}"/>
                </a:ext>
              </a:extLst>
            </xdr:cNvPr>
            <xdr:cNvSpPr txBox="1"/>
          </xdr:nvSpPr>
          <xdr:spPr>
            <a:xfrm>
              <a:off x="17895533" y="30318075"/>
              <a:ext cx="2476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rgbClr val="FF0000"/>
                  </a:solidFill>
                  <a:latin typeface="Cambria Math" panose="02040503050406030204" pitchFamily="18" charset="0"/>
                </a:rPr>
                <a:t>𝐚𝐯_𝐡</a:t>
              </a:r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twoCellAnchor>
    <xdr:from>
      <xdr:col>36</xdr:col>
      <xdr:colOff>411927</xdr:colOff>
      <xdr:row>107</xdr:row>
      <xdr:rowOff>79527</xdr:rowOff>
    </xdr:from>
    <xdr:to>
      <xdr:col>42</xdr:col>
      <xdr:colOff>281509</xdr:colOff>
      <xdr:row>108</xdr:row>
      <xdr:rowOff>41217</xdr:rowOff>
    </xdr:to>
    <xdr:sp macro="" textlink="">
      <xdr:nvSpPr>
        <xdr:cNvPr id="162" name="Right Brace 161">
          <a:extLst>
            <a:ext uri="{FF2B5EF4-FFF2-40B4-BE49-F238E27FC236}">
              <a16:creationId xmlns:a16="http://schemas.microsoft.com/office/drawing/2014/main" id="{8A27766E-DEBD-4917-A47C-76AEA2DD93B7}"/>
            </a:ext>
          </a:extLst>
        </xdr:cNvPr>
        <xdr:cNvSpPr/>
      </xdr:nvSpPr>
      <xdr:spPr>
        <a:xfrm rot="5400000">
          <a:off x="19998579" y="16004316"/>
          <a:ext cx="118572" cy="2357288"/>
        </a:xfrm>
        <a:prstGeom prst="rightBrac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oneCellAnchor>
    <xdr:from>
      <xdr:col>56</xdr:col>
      <xdr:colOff>131333</xdr:colOff>
      <xdr:row>23</xdr:row>
      <xdr:rowOff>131220</xdr:rowOff>
    </xdr:from>
    <xdr:ext cx="65" cy="17222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C710DC87-2299-BD60-5005-1EA1ED23514F}"/>
            </a:ext>
          </a:extLst>
        </xdr:cNvPr>
        <xdr:cNvSpPr txBox="1"/>
      </xdr:nvSpPr>
      <xdr:spPr>
        <a:xfrm>
          <a:off x="24470509" y="436704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56</xdr:col>
      <xdr:colOff>104141</xdr:colOff>
      <xdr:row>23</xdr:row>
      <xdr:rowOff>142501</xdr:rowOff>
    </xdr:from>
    <xdr:ext cx="1091196" cy="2520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4C45EABE-07CB-425F-AC09-F24D6DB3C8AB}"/>
                </a:ext>
              </a:extLst>
            </xdr:cNvPr>
            <xdr:cNvSpPr txBox="1"/>
          </xdr:nvSpPr>
          <xdr:spPr>
            <a:xfrm>
              <a:off x="25598011" y="4507436"/>
              <a:ext cx="1091196" cy="2520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0" i="1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0: </m:t>
                    </m:r>
                    <m:r>
                      <a:rPr lang="it-IT" sz="1100" b="1" i="0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𝐌𝐢𝐧</m:t>
                    </m:r>
                    <m:d>
                      <m:dPr>
                        <m:begChr m:val="["/>
                        <m:endChr m:val="]"/>
                        <m:ctrlPr>
                          <a:rPr lang="it-IT" sz="1100" b="1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it-IT" sz="1100" b="1" i="1" kern="1200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  <m:t>𝐂</m:t>
                            </m:r>
                          </m:e>
                          <m:sub>
                            <m:r>
                              <a:rPr lang="it-IT" sz="1100" b="1" i="0" kern="1200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  <m:t>𝐭𝐨</m:t>
                            </m:r>
                            <m:sSub>
                              <m:sSubPr>
                                <m:ctrlPr>
                                  <a:rPr lang="it-IT" sz="1100" b="1" i="1" kern="1200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it-IT" sz="1100" b="1" i="0" kern="1200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  <m:t>𝐭</m:t>
                                </m:r>
                              </m:e>
                              <m:sub>
                                <m:r>
                                  <a:rPr lang="it-IT" sz="1100" b="1" i="0" kern="1200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  <m:t>𝐲</m:t>
                                </m:r>
                              </m:sub>
                            </m:sSub>
                          </m:sub>
                        </m:sSub>
                        <m:sSub>
                          <m:sSubPr>
                            <m:ctrlPr>
                              <a:rPr lang="it-IT" sz="1100" b="1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𝐢</m:t>
                            </m:r>
                          </m:e>
                          <m:sub>
                            <m:r>
                              <a:rPr lang="it-IT" sz="1100" b="1" i="0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𝐲</m:t>
                            </m:r>
                          </m:sub>
                        </m:sSub>
                      </m:e>
                    </m:d>
                    <m:r>
                      <a:rPr lang="it-IT" sz="1100" b="1" i="1" kern="120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it-IT" sz="11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</m:t>
                    </m:r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4C45EABE-07CB-425F-AC09-F24D6DB3C8AB}"/>
                </a:ext>
              </a:extLst>
            </xdr:cNvPr>
            <xdr:cNvSpPr txBox="1"/>
          </xdr:nvSpPr>
          <xdr:spPr>
            <a:xfrm>
              <a:off x="25598011" y="4507436"/>
              <a:ext cx="1091196" cy="2520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0" i="0" kern="1200">
                  <a:solidFill>
                    <a:schemeClr val="tx1"/>
                  </a:solidFill>
                  <a:latin typeface="Cambria Math" panose="02040503050406030204" pitchFamily="18" charset="0"/>
                </a:rPr>
                <a:t>0: </a:t>
              </a:r>
              <a:r>
                <a:rPr lang="it-IT" sz="1100" b="1" i="0" kern="1200">
                  <a:solidFill>
                    <a:schemeClr val="tx1"/>
                  </a:solidFill>
                  <a:latin typeface="Cambria Math" panose="02040503050406030204" pitchFamily="18" charset="0"/>
                </a:rPr>
                <a:t>𝐌𝐢𝐧[</a:t>
              </a:r>
              <a:r>
                <a:rPr lang="it-IT" sz="1100" b="1" i="0" kern="1200">
                  <a:solidFill>
                    <a:srgbClr val="FF0000"/>
                  </a:solidFill>
                  <a:latin typeface="Cambria Math" panose="02040503050406030204" pitchFamily="18" charset="0"/>
                </a:rPr>
                <a:t>𝐂_(𝐭𝐨𝐭_𝐲 )</a:t>
              </a:r>
              <a:r>
                <a:rPr lang="it-IT" sz="1100" b="1" i="0" kern="1200">
                  <a:solidFill>
                    <a:schemeClr val="tx1"/>
                  </a:solidFill>
                  <a:latin typeface="Cambria Math" panose="02040503050406030204" pitchFamily="18" charset="0"/>
                </a:rPr>
                <a:t> 𝐢_𝐲 ]</a:t>
              </a:r>
              <a:r>
                <a:rPr lang="it-IT" sz="1100" b="1" i="0" kern="1200">
                  <a:solidFill>
                    <a:srgbClr val="FF0000"/>
                  </a:solidFill>
                  <a:latin typeface="Cambria Math" panose="02040503050406030204" pitchFamily="18" charset="0"/>
                </a:rPr>
                <a:t>  </a:t>
              </a:r>
              <a:r>
                <a:rPr lang="it-IT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68</xdr:col>
      <xdr:colOff>15688</xdr:colOff>
      <xdr:row>183</xdr:row>
      <xdr:rowOff>149555</xdr:rowOff>
    </xdr:from>
    <xdr:ext cx="232115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6A5DBBFA-D95B-C3B1-1501-6745E6B56E8A}"/>
                </a:ext>
              </a:extLst>
            </xdr:cNvPr>
            <xdr:cNvSpPr txBox="1"/>
          </xdr:nvSpPr>
          <xdr:spPr>
            <a:xfrm>
              <a:off x="28491297" y="25544033"/>
              <a:ext cx="232115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𝐓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𝐲𝐲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6A5DBBFA-D95B-C3B1-1501-6745E6B56E8A}"/>
                </a:ext>
              </a:extLst>
            </xdr:cNvPr>
            <xdr:cNvSpPr txBox="1"/>
          </xdr:nvSpPr>
          <xdr:spPr>
            <a:xfrm>
              <a:off x="28491297" y="25544033"/>
              <a:ext cx="232115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𝐓_𝐲𝐲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68</xdr:col>
      <xdr:colOff>952</xdr:colOff>
      <xdr:row>191</xdr:row>
      <xdr:rowOff>20955</xdr:rowOff>
    </xdr:from>
    <xdr:ext cx="238783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49336605-8B07-70A9-11DD-1CCEE7F0947D}"/>
                </a:ext>
              </a:extLst>
            </xdr:cNvPr>
            <xdr:cNvSpPr txBox="1"/>
          </xdr:nvSpPr>
          <xdr:spPr>
            <a:xfrm>
              <a:off x="31780834" y="28988161"/>
              <a:ext cx="238783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𝐩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𝐲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49336605-8B07-70A9-11DD-1CCEE7F0947D}"/>
                </a:ext>
              </a:extLst>
            </xdr:cNvPr>
            <xdr:cNvSpPr txBox="1"/>
          </xdr:nvSpPr>
          <xdr:spPr>
            <a:xfrm>
              <a:off x="31780834" y="28988161"/>
              <a:ext cx="238783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𝐩𝐫_𝐲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40</xdr:col>
      <xdr:colOff>61575</xdr:colOff>
      <xdr:row>171</xdr:row>
      <xdr:rowOff>5150</xdr:rowOff>
    </xdr:from>
    <xdr:ext cx="492058" cy="1847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3215E343-8939-4E4C-9B3B-B3347EE6AF0A}"/>
                </a:ext>
              </a:extLst>
            </xdr:cNvPr>
            <xdr:cNvSpPr txBox="1"/>
          </xdr:nvSpPr>
          <xdr:spPr>
            <a:xfrm>
              <a:off x="17838765" y="27029177"/>
              <a:ext cx="492058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𝐂𝐚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𝐩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𝐨</m:t>
                        </m:r>
                        <m:sSub>
                          <m:sSubPr>
                            <m:ctrlPr>
                              <a:rPr lang="it-IT" sz="1100" b="1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𝐩</m:t>
                            </m:r>
                          </m:e>
                          <m:sub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𝐢𝐧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3215E343-8939-4E4C-9B3B-B3347EE6AF0A}"/>
                </a:ext>
              </a:extLst>
            </xdr:cNvPr>
            <xdr:cNvSpPr txBox="1"/>
          </xdr:nvSpPr>
          <xdr:spPr>
            <a:xfrm>
              <a:off x="17838765" y="27029177"/>
              <a:ext cx="492058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𝐂𝐚𝐩_(𝐨𝐩_𝐢𝐧 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34</xdr:col>
      <xdr:colOff>373360</xdr:colOff>
      <xdr:row>204</xdr:row>
      <xdr:rowOff>133418</xdr:rowOff>
    </xdr:from>
    <xdr:ext cx="18458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3B72B913-8D05-42C4-BA45-4E3BCDEEBC8E}"/>
                </a:ext>
              </a:extLst>
            </xdr:cNvPr>
            <xdr:cNvSpPr txBox="1"/>
          </xdr:nvSpPr>
          <xdr:spPr>
            <a:xfrm>
              <a:off x="17051635" y="33118493"/>
              <a:ext cx="1845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𝐜</m:t>
                    </m:r>
                  </m:oMath>
                </m:oMathPara>
              </a14:m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3B72B913-8D05-42C4-BA45-4E3BCDEEBC8E}"/>
                </a:ext>
              </a:extLst>
            </xdr:cNvPr>
            <xdr:cNvSpPr txBox="1"/>
          </xdr:nvSpPr>
          <xdr:spPr>
            <a:xfrm>
              <a:off x="17051635" y="33118493"/>
              <a:ext cx="1845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rgbClr val="FF0000"/>
                  </a:solidFill>
                  <a:latin typeface="Cambria Math" panose="02040503050406030204" pitchFamily="18" charset="0"/>
                </a:rPr>
                <a:t>𝐜</a:t>
              </a:r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40</xdr:col>
      <xdr:colOff>68172</xdr:colOff>
      <xdr:row>181</xdr:row>
      <xdr:rowOff>151375</xdr:rowOff>
    </xdr:from>
    <xdr:ext cx="18447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7" name="TextBox 147">
              <a:extLst>
                <a:ext uri="{FF2B5EF4-FFF2-40B4-BE49-F238E27FC236}">
                  <a16:creationId xmlns:a16="http://schemas.microsoft.com/office/drawing/2014/main" id="{879011A4-A917-4A32-931B-0224CBE0241A}"/>
                </a:ext>
              </a:extLst>
            </xdr:cNvPr>
            <xdr:cNvSpPr txBox="1"/>
          </xdr:nvSpPr>
          <xdr:spPr>
            <a:xfrm>
              <a:off x="17845362" y="28776950"/>
              <a:ext cx="1844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𝐜𝐨</m:t>
                    </m:r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879011A4-A917-4A32-931B-0224CBE0241A}"/>
                </a:ext>
              </a:extLst>
            </xdr:cNvPr>
            <xdr:cNvSpPr txBox="1"/>
          </xdr:nvSpPr>
          <xdr:spPr>
            <a:xfrm>
              <a:off x="17845362" y="28776950"/>
              <a:ext cx="1844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𝐜𝐨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40</xdr:col>
      <xdr:colOff>90073</xdr:colOff>
      <xdr:row>173</xdr:row>
      <xdr:rowOff>28884</xdr:rowOff>
    </xdr:from>
    <xdr:ext cx="20249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25F10479-3CB7-4C8C-A391-47C70614F1B5}"/>
                </a:ext>
              </a:extLst>
            </xdr:cNvPr>
            <xdr:cNvSpPr txBox="1"/>
          </xdr:nvSpPr>
          <xdr:spPr>
            <a:xfrm>
              <a:off x="17867263" y="27373220"/>
              <a:ext cx="20249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𝐥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𝐭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𝐨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25F10479-3CB7-4C8C-A391-47C70614F1B5}"/>
                </a:ext>
              </a:extLst>
            </xdr:cNvPr>
            <xdr:cNvSpPr txBox="1"/>
          </xdr:nvSpPr>
          <xdr:spPr>
            <a:xfrm>
              <a:off x="17867263" y="27373220"/>
              <a:ext cx="20249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𝐥𝐭_𝐨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40</xdr:col>
      <xdr:colOff>75880</xdr:colOff>
      <xdr:row>169</xdr:row>
      <xdr:rowOff>156278</xdr:rowOff>
    </xdr:from>
    <xdr:ext cx="18530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4A1EA487-160A-4BE0-BD65-78BA4E750CAB}"/>
                </a:ext>
              </a:extLst>
            </xdr:cNvPr>
            <xdr:cNvSpPr txBox="1"/>
          </xdr:nvSpPr>
          <xdr:spPr>
            <a:xfrm>
              <a:off x="17853070" y="26859995"/>
              <a:ext cx="18530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𝐥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𝐭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𝐟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4A1EA487-160A-4BE0-BD65-78BA4E750CAB}"/>
                </a:ext>
              </a:extLst>
            </xdr:cNvPr>
            <xdr:cNvSpPr txBox="1"/>
          </xdr:nvSpPr>
          <xdr:spPr>
            <a:xfrm>
              <a:off x="17853070" y="26859995"/>
              <a:ext cx="18530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𝐥𝐭_𝐟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40</xdr:col>
      <xdr:colOff>79166</xdr:colOff>
      <xdr:row>172</xdr:row>
      <xdr:rowOff>16580</xdr:rowOff>
    </xdr:from>
    <xdr:ext cx="234551" cy="1840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408B010A-0AAD-46A8-86E8-0259829CA374}"/>
                </a:ext>
              </a:extLst>
            </xdr:cNvPr>
            <xdr:cNvSpPr txBox="1"/>
          </xdr:nvSpPr>
          <xdr:spPr>
            <a:xfrm>
              <a:off x="17856356" y="27200761"/>
              <a:ext cx="234551" cy="1840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𝐥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𝐭</m:t>
                        </m:r>
                      </m:e>
                      <m:sub>
                        <m:sSub>
                          <m:sSubPr>
                            <m:ctrlPr>
                              <a:rPr lang="it-IT" sz="1100" b="1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𝐨</m:t>
                            </m:r>
                          </m:e>
                          <m:sub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𝐢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408B010A-0AAD-46A8-86E8-0259829CA374}"/>
                </a:ext>
              </a:extLst>
            </xdr:cNvPr>
            <xdr:cNvSpPr txBox="1"/>
          </xdr:nvSpPr>
          <xdr:spPr>
            <a:xfrm>
              <a:off x="17856356" y="27200761"/>
              <a:ext cx="234551" cy="1840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𝐥𝐭_(𝐨_𝐢 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40</xdr:col>
      <xdr:colOff>89274</xdr:colOff>
      <xdr:row>168</xdr:row>
      <xdr:rowOff>158773</xdr:rowOff>
    </xdr:from>
    <xdr:ext cx="15747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4B4BF28C-642B-4559-9F90-2A0A3C5341E6}"/>
                </a:ext>
              </a:extLst>
            </xdr:cNvPr>
            <xdr:cNvSpPr txBox="1"/>
          </xdr:nvSpPr>
          <xdr:spPr>
            <a:xfrm>
              <a:off x="17866464" y="26702335"/>
              <a:ext cx="15747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𝐬𝐟</m:t>
                    </m:r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4B4BF28C-642B-4559-9F90-2A0A3C5341E6}"/>
                </a:ext>
              </a:extLst>
            </xdr:cNvPr>
            <xdr:cNvSpPr txBox="1"/>
          </xdr:nvSpPr>
          <xdr:spPr>
            <a:xfrm>
              <a:off x="17866464" y="26702335"/>
              <a:ext cx="15747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𝐬𝐟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35</xdr:col>
      <xdr:colOff>9900</xdr:colOff>
      <xdr:row>184</xdr:row>
      <xdr:rowOff>123825</xdr:rowOff>
    </xdr:from>
    <xdr:ext cx="411010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F3F8D0DF-25C6-4C00-A4DF-1200E7CBDA75}"/>
                </a:ext>
              </a:extLst>
            </xdr:cNvPr>
            <xdr:cNvSpPr txBox="1"/>
          </xdr:nvSpPr>
          <xdr:spPr>
            <a:xfrm>
              <a:off x="17059650" y="29860875"/>
              <a:ext cx="411010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𝐚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𝐯</m:t>
                        </m:r>
                      </m:e>
                      <m:sub>
                        <m:sSub>
                          <m:sSubPr>
                            <m:ctrlPr>
                              <a:rPr lang="it-IT" sz="1100" b="1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𝐲</m:t>
                            </m:r>
                          </m:e>
                          <m:sub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𝐦𝐚𝐱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F3F8D0DF-25C6-4C00-A4DF-1200E7CBDA75}"/>
                </a:ext>
              </a:extLst>
            </xdr:cNvPr>
            <xdr:cNvSpPr txBox="1"/>
          </xdr:nvSpPr>
          <xdr:spPr>
            <a:xfrm>
              <a:off x="17059650" y="29860875"/>
              <a:ext cx="411010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𝐚𝐯_(𝐲_𝐦𝐚𝐱 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35</xdr:col>
      <xdr:colOff>19612</xdr:colOff>
      <xdr:row>185</xdr:row>
      <xdr:rowOff>134660</xdr:rowOff>
    </xdr:from>
    <xdr:ext cx="404534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60D46C68-4EB5-40F6-AA4C-B2A38427B6A4}"/>
                </a:ext>
              </a:extLst>
            </xdr:cNvPr>
            <xdr:cNvSpPr txBox="1"/>
          </xdr:nvSpPr>
          <xdr:spPr>
            <a:xfrm>
              <a:off x="17107462" y="29033510"/>
              <a:ext cx="404534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𝐚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𝐯</m:t>
                        </m:r>
                      </m:e>
                      <m:sub>
                        <m:sSub>
                          <m:sSubPr>
                            <m:ctrlPr>
                              <a:rPr lang="it-IT" sz="1100" b="1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𝐲</m:t>
                            </m:r>
                          </m:e>
                          <m:sub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60D46C68-4EB5-40F6-AA4C-B2A38427B6A4}"/>
                </a:ext>
              </a:extLst>
            </xdr:cNvPr>
            <xdr:cNvSpPr txBox="1"/>
          </xdr:nvSpPr>
          <xdr:spPr>
            <a:xfrm>
              <a:off x="17107462" y="29033510"/>
              <a:ext cx="404534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𝐚𝐯_(𝐲_𝐦𝐢𝐧 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34</xdr:col>
      <xdr:colOff>399068</xdr:colOff>
      <xdr:row>192</xdr:row>
      <xdr:rowOff>147158</xdr:rowOff>
    </xdr:from>
    <xdr:ext cx="58593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80991FDE-98A2-4E3A-A39C-61FAF0F5051A}"/>
                </a:ext>
              </a:extLst>
            </xdr:cNvPr>
            <xdr:cNvSpPr txBox="1"/>
          </xdr:nvSpPr>
          <xdr:spPr>
            <a:xfrm>
              <a:off x="17108639" y="31429979"/>
              <a:ext cx="58593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𝐜𝐚𝐩𝐚𝐜𝐢𝐭𝐲</m:t>
                    </m:r>
                  </m:oMath>
                </m:oMathPara>
              </a14:m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80991FDE-98A2-4E3A-A39C-61FAF0F5051A}"/>
                </a:ext>
              </a:extLst>
            </xdr:cNvPr>
            <xdr:cNvSpPr txBox="1"/>
          </xdr:nvSpPr>
          <xdr:spPr>
            <a:xfrm>
              <a:off x="17108639" y="31429979"/>
              <a:ext cx="58593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rgbClr val="FF0000"/>
                  </a:solidFill>
                  <a:latin typeface="Cambria Math" panose="02040503050406030204" pitchFamily="18" charset="0"/>
                </a:rPr>
                <a:t>𝐜𝐚𝐩𝐚𝐜𝐢𝐭𝐲</a:t>
              </a:r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40</xdr:col>
      <xdr:colOff>404432</xdr:colOff>
      <xdr:row>193</xdr:row>
      <xdr:rowOff>123596</xdr:rowOff>
    </xdr:from>
    <xdr:ext cx="431528" cy="2019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7BF04E54-EB18-477B-A8BF-7CAF843B75AD}"/>
                </a:ext>
              </a:extLst>
            </xdr:cNvPr>
            <xdr:cNvSpPr txBox="1"/>
          </xdr:nvSpPr>
          <xdr:spPr>
            <a:xfrm>
              <a:off x="18181622" y="30350720"/>
              <a:ext cx="431528" cy="2019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𝐂𝐚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𝐩</m:t>
                        </m:r>
                      </m:e>
                      <m:sub>
                        <m:sSub>
                          <m:sSubPr>
                            <m:ctrlPr>
                              <a:rPr lang="it-IT" sz="1100" b="1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𝐧</m:t>
                            </m:r>
                          </m:e>
                          <m:sub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𝐩𝐥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7BF04E54-EB18-477B-A8BF-7CAF843B75AD}"/>
                </a:ext>
              </a:extLst>
            </xdr:cNvPr>
            <xdr:cNvSpPr txBox="1"/>
          </xdr:nvSpPr>
          <xdr:spPr>
            <a:xfrm>
              <a:off x="18181622" y="30350720"/>
              <a:ext cx="431528" cy="2019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𝐂𝐚𝐩_(𝐧_𝐩𝐥 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41</xdr:col>
      <xdr:colOff>2608</xdr:colOff>
      <xdr:row>194</xdr:row>
      <xdr:rowOff>154039</xdr:rowOff>
    </xdr:from>
    <xdr:ext cx="415498" cy="1844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B521C3D4-0F45-4D40-A37A-763B424D3FC9}"/>
                </a:ext>
              </a:extLst>
            </xdr:cNvPr>
            <xdr:cNvSpPr txBox="1"/>
          </xdr:nvSpPr>
          <xdr:spPr>
            <a:xfrm>
              <a:off x="18192829" y="30541318"/>
              <a:ext cx="415498" cy="1844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𝐂𝐚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𝐩</m:t>
                        </m:r>
                      </m:e>
                      <m:sub>
                        <m:sSub>
                          <m:sSubPr>
                            <m:ctrlPr>
                              <a:rPr lang="it-IT" sz="1100" b="1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𝐧</m:t>
                            </m:r>
                          </m:e>
                          <m:sub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𝐟𝐢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B521C3D4-0F45-4D40-A37A-763B424D3FC9}"/>
                </a:ext>
              </a:extLst>
            </xdr:cNvPr>
            <xdr:cNvSpPr txBox="1"/>
          </xdr:nvSpPr>
          <xdr:spPr>
            <a:xfrm>
              <a:off x="18192829" y="30541318"/>
              <a:ext cx="415498" cy="1844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𝐂𝐚𝐩_(𝐧_𝐟𝐢 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40</xdr:col>
      <xdr:colOff>411157</xdr:colOff>
      <xdr:row>196</xdr:row>
      <xdr:rowOff>10230</xdr:rowOff>
    </xdr:from>
    <xdr:ext cx="461345" cy="1848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0A8546CF-4078-416C-B305-8C1DCA1B2581}"/>
                </a:ext>
              </a:extLst>
            </xdr:cNvPr>
            <xdr:cNvSpPr txBox="1"/>
          </xdr:nvSpPr>
          <xdr:spPr>
            <a:xfrm>
              <a:off x="18188347" y="30717818"/>
              <a:ext cx="461345" cy="1848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𝐂𝐚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𝐩</m:t>
                        </m:r>
                      </m:e>
                      <m:sub>
                        <m:sSub>
                          <m:sSubPr>
                            <m:ctrlPr>
                              <a:rPr lang="it-IT" sz="1100" b="1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𝐧</m:t>
                            </m:r>
                          </m:e>
                          <m:sub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𝐛𝐮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0A8546CF-4078-416C-B305-8C1DCA1B2581}"/>
                </a:ext>
              </a:extLst>
            </xdr:cNvPr>
            <xdr:cNvSpPr txBox="1"/>
          </xdr:nvSpPr>
          <xdr:spPr>
            <a:xfrm>
              <a:off x="18188347" y="30717818"/>
              <a:ext cx="461345" cy="1848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𝐂𝐚𝐩_(𝐧_𝐛𝐮 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40</xdr:col>
      <xdr:colOff>403126</xdr:colOff>
      <xdr:row>198</xdr:row>
      <xdr:rowOff>10230</xdr:rowOff>
    </xdr:from>
    <xdr:ext cx="431913" cy="1840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E9CD19DF-811F-4BCB-B88F-DC80D98EE00B}"/>
                </a:ext>
              </a:extLst>
            </xdr:cNvPr>
            <xdr:cNvSpPr txBox="1"/>
          </xdr:nvSpPr>
          <xdr:spPr>
            <a:xfrm>
              <a:off x="18180316" y="31038128"/>
              <a:ext cx="431913" cy="1840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𝐂𝐚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𝐩</m:t>
                        </m:r>
                      </m:e>
                      <m:sub>
                        <m:sSub>
                          <m:sSubPr>
                            <m:ctrlPr>
                              <a:rPr lang="it-IT" sz="1100" b="1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𝐝</m:t>
                            </m:r>
                          </m:e>
                          <m:sub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𝐢𝐧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E9CD19DF-811F-4BCB-B88F-DC80D98EE00B}"/>
                </a:ext>
              </a:extLst>
            </xdr:cNvPr>
            <xdr:cNvSpPr txBox="1"/>
          </xdr:nvSpPr>
          <xdr:spPr>
            <a:xfrm>
              <a:off x="18180316" y="31038128"/>
              <a:ext cx="431913" cy="1840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𝐂𝐚𝐩_(𝐝_𝐢𝐧 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40</xdr:col>
      <xdr:colOff>404808</xdr:colOff>
      <xdr:row>197</xdr:row>
      <xdr:rowOff>11912</xdr:rowOff>
    </xdr:from>
    <xdr:ext cx="462242" cy="1848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2AC29457-8200-4726-A0D3-F5239EAC9E4C}"/>
                </a:ext>
              </a:extLst>
            </xdr:cNvPr>
            <xdr:cNvSpPr txBox="1"/>
          </xdr:nvSpPr>
          <xdr:spPr>
            <a:xfrm>
              <a:off x="18181998" y="30879655"/>
              <a:ext cx="462242" cy="1848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𝐂𝐚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𝐩</m:t>
                        </m:r>
                      </m:e>
                      <m:sub>
                        <m:sSub>
                          <m:sSubPr>
                            <m:ctrlPr>
                              <a:rPr lang="it-IT" sz="1100" b="1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𝐝</m:t>
                            </m:r>
                          </m:e>
                          <m:sub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𝐛𝐮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2AC29457-8200-4726-A0D3-F5239EAC9E4C}"/>
                </a:ext>
              </a:extLst>
            </xdr:cNvPr>
            <xdr:cNvSpPr txBox="1"/>
          </xdr:nvSpPr>
          <xdr:spPr>
            <a:xfrm>
              <a:off x="18181998" y="30879655"/>
              <a:ext cx="462242" cy="1848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𝐂𝐚𝐩_(𝐝_𝐛𝐮 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40</xdr:col>
      <xdr:colOff>403126</xdr:colOff>
      <xdr:row>199</xdr:row>
      <xdr:rowOff>21436</xdr:rowOff>
    </xdr:from>
    <xdr:ext cx="430502" cy="1847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0C051208-B0FA-4F80-88E9-164434D270DB}"/>
                </a:ext>
              </a:extLst>
            </xdr:cNvPr>
            <xdr:cNvSpPr txBox="1"/>
          </xdr:nvSpPr>
          <xdr:spPr>
            <a:xfrm>
              <a:off x="18180316" y="31209489"/>
              <a:ext cx="430502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𝐂𝐚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𝐩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𝐨𝐩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0C051208-B0FA-4F80-88E9-164434D270DB}"/>
                </a:ext>
              </a:extLst>
            </xdr:cNvPr>
            <xdr:cNvSpPr txBox="1"/>
          </xdr:nvSpPr>
          <xdr:spPr>
            <a:xfrm>
              <a:off x="18180316" y="31209489"/>
              <a:ext cx="430502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𝐂𝐚𝐩_(𝐨𝐩 )</a:t>
              </a:r>
              <a:endParaRPr lang="en-US" sz="1100" b="1" i="0" kern="1200"/>
            </a:p>
          </xdr:txBody>
        </xdr:sp>
      </mc:Fallback>
    </mc:AlternateContent>
    <xdr:clientData/>
  </xdr:oneCellAnchor>
  <xdr:twoCellAnchor>
    <xdr:from>
      <xdr:col>54</xdr:col>
      <xdr:colOff>104477</xdr:colOff>
      <xdr:row>184</xdr:row>
      <xdr:rowOff>116539</xdr:rowOff>
    </xdr:from>
    <xdr:to>
      <xdr:col>64</xdr:col>
      <xdr:colOff>275068</xdr:colOff>
      <xdr:row>193</xdr:row>
      <xdr:rowOff>125351</xdr:rowOff>
    </xdr:to>
    <xdr:grpSp>
      <xdr:nvGrpSpPr>
        <xdr:cNvPr id="217" name="Group 216">
          <a:extLst>
            <a:ext uri="{FF2B5EF4-FFF2-40B4-BE49-F238E27FC236}">
              <a16:creationId xmlns:a16="http://schemas.microsoft.com/office/drawing/2014/main" id="{8DAF6391-B64F-75D5-6A0F-293D5492AB59}"/>
            </a:ext>
          </a:extLst>
        </xdr:cNvPr>
        <xdr:cNvGrpSpPr/>
      </xdr:nvGrpSpPr>
      <xdr:grpSpPr>
        <a:xfrm>
          <a:off x="23434377" y="31072789"/>
          <a:ext cx="4234591" cy="1494712"/>
          <a:chOff x="25749369" y="28264990"/>
          <a:chExt cx="4261151" cy="1693275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80" name="TextBox 79">
                <a:extLst>
                  <a:ext uri="{FF2B5EF4-FFF2-40B4-BE49-F238E27FC236}">
                    <a16:creationId xmlns:a16="http://schemas.microsoft.com/office/drawing/2014/main" id="{1D056892-DDD9-43FC-B61E-4C86902AF546}"/>
                  </a:ext>
                </a:extLst>
              </xdr:cNvPr>
              <xdr:cNvSpPr txBox="1"/>
            </xdr:nvSpPr>
            <xdr:spPr>
              <a:xfrm>
                <a:off x="25752071" y="28964420"/>
                <a:ext cx="2877975" cy="36816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it-IT" b="1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0: </m:t>
                          </m:r>
                          <m:r>
                            <a:rPr lang="it-IT" b="1" i="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𝐂𝐚𝐩</m:t>
                          </m:r>
                        </m:e>
                        <m:sub>
                          <m:sSub>
                            <m:sSubPr>
                              <m:ctrlPr>
                                <a:rPr lang="it-IT" b="1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it-IT" b="1" i="0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𝐝</m:t>
                              </m:r>
                            </m:e>
                            <m:sub>
                              <m:r>
                                <a:rPr lang="it-IT" b="1" i="0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𝐛𝐮</m:t>
                              </m:r>
                            </m:sub>
                          </m:sSub>
                        </m:sub>
                      </m:sSub>
                      <m:r>
                        <a:rPr lang="it-IT" b="1" i="0"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𝐂𝐚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e>
                        <m:sub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𝐧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𝐛𝐮</m:t>
                              </m:r>
                            </m:sub>
                          </m:sSub>
                        </m:sub>
                      </m:sSub>
                      <m:d>
                        <m:dPr>
                          <m:ctrlPr>
                            <a:rPr lang="it-IT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−</m:t>
                          </m:r>
                          <m:r>
                            <m:rPr>
                              <m:sty m:val="p"/>
                            </m:rPr>
                            <a:rPr lang="it-IT" b="0" i="0">
                              <a:latin typeface="Cambria Math" panose="02040503050406030204" pitchFamily="18" charset="0"/>
                            </a:rPr>
                            <m:t>weib</m:t>
                          </m:r>
                          <m:r>
                            <a:rPr lang="it-IT" b="0" i="1">
                              <a:latin typeface="Cambria Math" panose="02040503050406030204" pitchFamily="18" charset="0"/>
                            </a:rPr>
                            <m:t>(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𝐥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𝐭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𝐨</m:t>
                              </m:r>
                            </m:sub>
                          </m:sSub>
                          <m: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𝐬𝐟</m:t>
                          </m:r>
                          <m: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 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𝐫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𝐲</m:t>
                              </m:r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,</m:t>
                              </m:r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𝐲</m:t>
                              </m:r>
                            </m:sub>
                          </m:sSub>
                          <m: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2)</m:t>
                          </m:r>
                        </m:e>
                      </m:d>
                      <m:r>
                        <a:rPr lang="it-IT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′</m:t>
                      </m:r>
                    </m:oMath>
                  </m:oMathPara>
                </a14:m>
                <a:endParaRPr lang="en-US" sz="1100" b="0" i="0" kern="1200"/>
              </a:p>
            </xdr:txBody>
          </xdr:sp>
        </mc:Choice>
        <mc:Fallback xmlns="">
          <xdr:sp macro="" textlink="">
            <xdr:nvSpPr>
              <xdr:cNvPr id="80" name="TextBox 79">
                <a:extLst>
                  <a:ext uri="{FF2B5EF4-FFF2-40B4-BE49-F238E27FC236}">
                    <a16:creationId xmlns:a16="http://schemas.microsoft.com/office/drawing/2014/main" id="{1D056892-DDD9-43FC-B61E-4C86902AF546}"/>
                  </a:ext>
                </a:extLst>
              </xdr:cNvPr>
              <xdr:cNvSpPr txBox="1"/>
            </xdr:nvSpPr>
            <xdr:spPr>
              <a:xfrm>
                <a:off x="25752071" y="28964420"/>
                <a:ext cx="2877975" cy="36816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b="1" i="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〖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 </a:t>
                </a:r>
                <a:r>
                  <a:rPr lang="it-IT" b="1" i="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𝐂𝐚𝐩〗_(𝐝_𝐛𝐮 )</a:t>
                </a:r>
                <a:r>
                  <a:rPr lang="it-IT" b="1" i="0">
                    <a:latin typeface="Cambria Math" panose="02040503050406030204" pitchFamily="18" charset="0"/>
                  </a:rPr>
                  <a:t>=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𝐂𝐚𝐩_(𝐧_𝐛𝐮 )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(−</a:t>
                </a:r>
                <a:r>
                  <a:rPr lang="it-IT" b="0" i="0">
                    <a:latin typeface="Cambria Math" panose="02040503050406030204" pitchFamily="18" charset="0"/>
                  </a:rPr>
                  <a:t>weib(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𝐥𝐭_𝐨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,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𝐬𝐟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, 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𝐩𝐫_(𝐲,𝐲)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,2))′</a:t>
                </a:r>
                <a:endParaRPr lang="en-US" sz="1100" b="0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81" name="TextBox 80">
                <a:extLst>
                  <a:ext uri="{FF2B5EF4-FFF2-40B4-BE49-F238E27FC236}">
                    <a16:creationId xmlns:a16="http://schemas.microsoft.com/office/drawing/2014/main" id="{42A06753-0B1B-FF68-243B-12CF55A8979E}"/>
                  </a:ext>
                </a:extLst>
              </xdr:cNvPr>
              <xdr:cNvSpPr txBox="1"/>
            </xdr:nvSpPr>
            <xdr:spPr>
              <a:xfrm>
                <a:off x="25760210" y="29736243"/>
                <a:ext cx="4250310" cy="22202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14:m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0: </m:t>
                        </m:r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𝐂𝐚𝐩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𝐨𝐩</m:t>
                        </m:r>
                      </m:sub>
                    </m:sSub>
                    <m:r>
                      <a:rPr lang="it-IT" sz="1100" b="1" i="0" kern="120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𝐂𝐚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𝐩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𝐨</m:t>
                        </m:r>
                        <m:sSub>
                          <m:sSubPr>
                            <m:ctrlPr>
                              <a:rPr lang="it-IT" sz="1100" b="1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𝐩</m:t>
                            </m:r>
                          </m:e>
                          <m:sub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𝐢𝐧</m:t>
                            </m:r>
                          </m:sub>
                        </m:sSub>
                      </m:sub>
                    </m:sSub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it-IT" sz="1100" b="1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𝐂𝐚</m:t>
                        </m:r>
                        <m:sSub>
                          <m:sSubPr>
                            <m:ctrlPr>
                              <a:rPr lang="it-IT" sz="1100" b="1" i="1" kern="1200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  <m:t>𝐩</m:t>
                            </m:r>
                          </m:e>
                          <m:sub>
                            <m:sSub>
                              <m:sSubPr>
                                <m:ctrlPr>
                                  <a:rPr lang="it-IT" sz="1100" b="1" i="1" kern="1200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it-IT" sz="1100" b="1" i="0" kern="1200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  <m:t>𝐧</m:t>
                                </m:r>
                              </m:e>
                              <m:sub>
                                <m:r>
                                  <a:rPr lang="it-IT" sz="1100" b="1" i="0" kern="1200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  <m:t>𝐛𝐮</m:t>
                                </m:r>
                              </m:sub>
                            </m:sSub>
                          </m:sub>
                        </m:sSub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𝐂𝐚</m:t>
                        </m:r>
                        <m:sSub>
                          <m:sSubPr>
                            <m:ctrlPr>
                              <a:rPr lang="it-IT" sz="1100" b="1" i="1" kern="1200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  <m:t>𝐩</m:t>
                            </m:r>
                          </m:e>
                          <m:sub>
                            <m:sSub>
                              <m:sSubPr>
                                <m:ctrlPr>
                                  <a:rPr lang="it-IT" sz="1100" b="1" i="1" kern="1200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it-IT" sz="1100" b="1" i="0" kern="1200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  <m:t>𝐝</m:t>
                                </m:r>
                              </m:e>
                              <m:sub>
                                <m:r>
                                  <a:rPr lang="it-IT" sz="1100" b="1" i="0" kern="1200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  <m:t>𝐛𝐮</m:t>
                                </m:r>
                              </m:sub>
                            </m:sSub>
                          </m:sub>
                        </m:sSub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𝐂𝐚</m:t>
                        </m:r>
                        <m:sSub>
                          <m:sSubPr>
                            <m:ctrlPr>
                              <a:rPr lang="it-IT" sz="1100" b="1" i="1" kern="1200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  <m:t>𝐩</m:t>
                            </m:r>
                          </m:e>
                          <m:sub>
                            <m:sSub>
                              <m:sSubPr>
                                <m:ctrlPr>
                                  <a:rPr lang="it-IT" sz="1100" b="1" i="1" kern="1200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it-IT" sz="1100" b="1" i="0" kern="1200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  <m:t>𝐝</m:t>
                                </m:r>
                              </m:e>
                              <m:sub>
                                <m:r>
                                  <a:rPr lang="it-IT" sz="1100" b="1" i="0" kern="1200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  <m:t>𝐢𝐧</m:t>
                                </m:r>
                              </m:sub>
                            </m:sSub>
                          </m:sub>
                        </m:sSub>
                      </m:e>
                    </m:d>
                    <m:sSub>
                      <m:sSubPr>
                        <m:ctrlPr>
                          <a:rPr lang="it-IT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𝐓</m:t>
                        </m:r>
                      </m:e>
                      <m:sub>
                        <m:r>
                          <a:rPr lang="it-IT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𝐲𝐲</m:t>
                        </m:r>
                      </m:sub>
                    </m:sSub>
                  </m:oMath>
                </a14:m>
                <a:r>
                  <a:rPr lang="en-US" sz="1100" b="1" i="0" kern="1200"/>
                  <a:t>'</a:t>
                </a:r>
              </a:p>
            </xdr:txBody>
          </xdr:sp>
        </mc:Choice>
        <mc:Fallback xmlns="">
          <xdr:sp macro="" textlink="">
            <xdr:nvSpPr>
              <xdr:cNvPr id="81" name="TextBox 80">
                <a:extLst>
                  <a:ext uri="{FF2B5EF4-FFF2-40B4-BE49-F238E27FC236}">
                    <a16:creationId xmlns:a16="http://schemas.microsoft.com/office/drawing/2014/main" id="{42A06753-0B1B-FF68-243B-12CF55A8979E}"/>
                  </a:ext>
                </a:extLst>
              </xdr:cNvPr>
              <xdr:cNvSpPr txBox="1"/>
            </xdr:nvSpPr>
            <xdr:spPr>
              <a:xfrm>
                <a:off x="25760210" y="29736243"/>
                <a:ext cx="4250310" cy="22202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r>
                  <a:rPr lang="it-IT" sz="1100" b="1" i="0" kern="120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〖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 </a:t>
                </a:r>
                <a:r>
                  <a:rPr lang="it-IT" sz="1100" b="1" i="0" kern="120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𝐂𝐚𝐩〗_𝐨𝐩</a:t>
                </a:r>
                <a:r>
                  <a:rPr lang="it-IT" sz="1100" b="1" i="0" kern="12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=</a:t>
                </a:r>
                <a:r>
                  <a:rPr lang="it-IT" sz="1100" b="1" i="0" kern="1200">
                    <a:latin typeface="Cambria Math" panose="02040503050406030204" pitchFamily="18" charset="0"/>
                  </a:rPr>
                  <a:t>𝐂𝐚𝐩_(𝐨𝐩_𝐢𝐧 )+</a:t>
                </a:r>
                <a:r>
                  <a:rPr lang="it-IT" sz="1100" b="1" i="0" kern="1200">
                    <a:solidFill>
                      <a:schemeClr val="tx1"/>
                    </a:solidFill>
                    <a:latin typeface="Cambria Math" panose="02040503050406030204" pitchFamily="18" charset="0"/>
                  </a:rPr>
                  <a:t>(</a:t>
                </a:r>
                <a:r>
                  <a:rPr lang="it-IT" sz="1100" b="1" i="0" kern="120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𝐂𝐚𝐩_(𝐧_𝐛𝐮 )</a:t>
                </a:r>
                <a:r>
                  <a:rPr lang="it-IT" sz="1100" b="1" i="0" kern="1200">
                    <a:solidFill>
                      <a:schemeClr val="tx1"/>
                    </a:solidFill>
                    <a:latin typeface="Cambria Math" panose="02040503050406030204" pitchFamily="18" charset="0"/>
                  </a:rPr>
                  <a:t>+</a:t>
                </a:r>
                <a:r>
                  <a:rPr lang="it-IT" sz="1100" b="1" i="0" kern="120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𝐂𝐚𝐩_(𝐝_𝐛𝐮 )</a:t>
                </a:r>
                <a:r>
                  <a:rPr lang="it-IT" sz="1100" b="1" i="0" kern="1200">
                    <a:solidFill>
                      <a:schemeClr val="tx1"/>
                    </a:solidFill>
                    <a:latin typeface="Cambria Math" panose="02040503050406030204" pitchFamily="18" charset="0"/>
                  </a:rPr>
                  <a:t>+</a:t>
                </a:r>
                <a:r>
                  <a:rPr lang="it-IT" sz="1100" b="1" i="0" kern="120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𝐂𝐚𝐩_(𝐝_𝐢𝐧 ) )</a:t>
                </a:r>
                <a:r>
                  <a:rPr lang="it-IT" sz="1100" b="1" i="0" kern="120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𝐓_𝐲𝐲</a:t>
                </a:r>
                <a:r>
                  <a:rPr lang="en-US" sz="1100" b="1" i="0" kern="1200"/>
                  <a:t>'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92" name="TextBox 191">
                <a:extLst>
                  <a:ext uri="{FF2B5EF4-FFF2-40B4-BE49-F238E27FC236}">
                    <a16:creationId xmlns:a16="http://schemas.microsoft.com/office/drawing/2014/main" id="{478C6716-1D4D-4B2C-8489-9333EAD4FEE7}"/>
                  </a:ext>
                </a:extLst>
              </xdr:cNvPr>
              <xdr:cNvSpPr txBox="1"/>
            </xdr:nvSpPr>
            <xdr:spPr>
              <a:xfrm>
                <a:off x="25753135" y="29324943"/>
                <a:ext cx="2887500" cy="36979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it-IT" b="1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0: </m:t>
                          </m:r>
                          <m:r>
                            <a:rPr lang="it-IT" b="1" i="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𝐂𝐚𝐩</m:t>
                          </m:r>
                        </m:e>
                        <m:sub>
                          <m:sSub>
                            <m:sSubPr>
                              <m:ctrlPr>
                                <a:rPr lang="it-IT" b="1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it-IT" b="1" i="0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𝐝</m:t>
                              </m:r>
                            </m:e>
                            <m:sub>
                              <m:r>
                                <a:rPr lang="it-IT" b="1" i="0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𝐢𝐧</m:t>
                              </m:r>
                            </m:sub>
                          </m:sSub>
                        </m:sub>
                      </m:sSub>
                      <m:r>
                        <a:rPr lang="it-IT" b="1" i="0"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𝐂𝐚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𝐨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𝐩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𝐢𝐧</m:t>
                              </m:r>
                            </m:sub>
                          </m:sSub>
                        </m:sub>
                      </m:sSub>
                      <m:d>
                        <m:dPr>
                          <m:ctrlPr>
                            <a:rPr lang="it-IT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−</m:t>
                          </m:r>
                          <m:r>
                            <m:rPr>
                              <m:sty m:val="p"/>
                            </m:rP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weib</m:t>
                          </m:r>
                          <m:r>
                            <a:rPr lang="it-IT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(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𝐥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𝐭</m:t>
                              </m:r>
                            </m:e>
                            <m:sub>
                              <m:sSub>
                                <m:sSubPr>
                                  <m:ctrlPr>
                                    <a:rPr lang="it-IT" sz="1100" b="1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it-IT" sz="1100" b="1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𝐨</m:t>
                                  </m:r>
                                </m:e>
                                <m:sub>
                                  <m:r>
                                    <a:rPr lang="it-IT" sz="1100" b="1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𝐢</m:t>
                                  </m:r>
                                </m:sub>
                              </m:sSub>
                            </m:sub>
                          </m:sSub>
                          <m: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𝐬𝐟</m:t>
                          </m:r>
                          <m: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 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𝐫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𝐲</m:t>
                              </m:r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,</m:t>
                              </m:r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𝐲</m:t>
                              </m:r>
                            </m:sub>
                          </m:sSub>
                          <m: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1)</m:t>
                          </m:r>
                        </m:e>
                      </m:d>
                      <m:r>
                        <a:rPr lang="it-IT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′</m:t>
                      </m:r>
                    </m:oMath>
                  </m:oMathPara>
                </a14:m>
                <a:endParaRPr lang="en-US" sz="1100" b="1" i="0" kern="1200"/>
              </a:p>
            </xdr:txBody>
          </xdr:sp>
        </mc:Choice>
        <mc:Fallback xmlns="">
          <xdr:sp macro="" textlink="">
            <xdr:nvSpPr>
              <xdr:cNvPr id="192" name="TextBox 191">
                <a:extLst>
                  <a:ext uri="{FF2B5EF4-FFF2-40B4-BE49-F238E27FC236}">
                    <a16:creationId xmlns:a16="http://schemas.microsoft.com/office/drawing/2014/main" id="{478C6716-1D4D-4B2C-8489-9333EAD4FEE7}"/>
                  </a:ext>
                </a:extLst>
              </xdr:cNvPr>
              <xdr:cNvSpPr txBox="1"/>
            </xdr:nvSpPr>
            <xdr:spPr>
              <a:xfrm>
                <a:off x="25753135" y="29324943"/>
                <a:ext cx="2887500" cy="36979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b="1" i="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〖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 </a:t>
                </a:r>
                <a:r>
                  <a:rPr lang="it-IT" b="1" i="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𝐂𝐚𝐩〗_(𝐝_𝐢𝐧 )</a:t>
                </a:r>
                <a:r>
                  <a:rPr lang="it-IT" b="1" i="0">
                    <a:latin typeface="Cambria Math" panose="02040503050406030204" pitchFamily="18" charset="0"/>
                  </a:rPr>
                  <a:t>=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𝐂𝐚𝐩_(𝐨𝐩_𝐢𝐧 )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(−weib(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𝐥𝐭_(𝐨_𝐢 )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,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𝐬𝐟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, 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𝐩𝐫_(𝐲,𝐲)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,1))′</a:t>
                </a:r>
                <a:endParaRPr lang="en-US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93" name="TextBox 192">
                <a:extLst>
                  <a:ext uri="{FF2B5EF4-FFF2-40B4-BE49-F238E27FC236}">
                    <a16:creationId xmlns:a16="http://schemas.microsoft.com/office/drawing/2014/main" id="{095FC548-DE27-4C95-9BDF-41EA3F15D065}"/>
                  </a:ext>
                </a:extLst>
              </xdr:cNvPr>
              <xdr:cNvSpPr txBox="1"/>
            </xdr:nvSpPr>
            <xdr:spPr>
              <a:xfrm>
                <a:off x="25751805" y="28264990"/>
                <a:ext cx="2887467" cy="36816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 algn="l"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b="0" i="0">
                          <a:latin typeface="Cambria Math" panose="02040503050406030204" pitchFamily="18" charset="0"/>
                        </a:rPr>
                        <m:t>0:</m:t>
                      </m:r>
                      <m:r>
                        <a:rPr lang="it-IT" b="1" i="0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𝐂𝐚</m:t>
                      </m:r>
                      <m:sSub>
                        <m:sSubPr>
                          <m:ctrlPr>
                            <a:rPr lang="it-IT" b="1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it-IT" b="1" i="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𝐩</m:t>
                          </m:r>
                        </m:e>
                        <m:sub>
                          <m:sSub>
                            <m:sSubPr>
                              <m:ctrlPr>
                                <a:rPr lang="it-IT" b="1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it-IT" b="1" i="0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𝐧</m:t>
                              </m:r>
                            </m:e>
                            <m:sub>
                              <m:r>
                                <a:rPr lang="it-IT" b="1" i="0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𝐟𝐢</m:t>
                              </m:r>
                            </m:sub>
                          </m:sSub>
                        </m:sub>
                      </m:sSub>
                      <m:r>
                        <a:rPr lang="it-IT" b="1" i="0"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𝐂𝐚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e>
                        <m:sub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𝐧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𝐩𝐥</m:t>
                              </m:r>
                            </m:sub>
                          </m:sSub>
                        </m:sub>
                      </m:sSub>
                      <m:r>
                        <m:rPr>
                          <m:sty m:val="p"/>
                        </m:rP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shift</m:t>
                      </m:r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m:rPr>
                          <m:sty m:val="p"/>
                        </m:rP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p</m:t>
                      </m:r>
                      <m:sSub>
                        <m:sSubPr>
                          <m:ctrlPr>
                            <a:rPr lang="it-IT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m:rPr>
                              <m:sty m:val="p"/>
                            </m:rP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l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y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 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𝐝𝐜</m:t>
                      </m:r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)′</m:t>
                      </m:r>
                    </m:oMath>
                  </m:oMathPara>
                </a14:m>
                <a:endParaRPr lang="en-US" sz="1100" b="0" i="0" kern="1200"/>
              </a:p>
            </xdr:txBody>
          </xdr:sp>
        </mc:Choice>
        <mc:Fallback xmlns="">
          <xdr:sp macro="" textlink="">
            <xdr:nvSpPr>
              <xdr:cNvPr id="193" name="TextBox 192">
                <a:extLst>
                  <a:ext uri="{FF2B5EF4-FFF2-40B4-BE49-F238E27FC236}">
                    <a16:creationId xmlns:a16="http://schemas.microsoft.com/office/drawing/2014/main" id="{095FC548-DE27-4C95-9BDF-41EA3F15D065}"/>
                  </a:ext>
                </a:extLst>
              </xdr:cNvPr>
              <xdr:cNvSpPr txBox="1"/>
            </xdr:nvSpPr>
            <xdr:spPr>
              <a:xfrm>
                <a:off x="25751805" y="28264990"/>
                <a:ext cx="2887467" cy="36816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 algn="l"/>
                <a:r>
                  <a:rPr lang="it-IT" b="0" i="0">
                    <a:latin typeface="Cambria Math" panose="02040503050406030204" pitchFamily="18" charset="0"/>
                  </a:rPr>
                  <a:t>0:</a:t>
                </a:r>
                <a:r>
                  <a:rPr lang="it-IT" b="1" i="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𝐂𝐚𝐩_(𝐧_𝐟𝐢 )</a:t>
                </a:r>
                <a:r>
                  <a:rPr lang="it-IT" b="1" i="0">
                    <a:latin typeface="Cambria Math" panose="02040503050406030204" pitchFamily="18" charset="0"/>
                  </a:rPr>
                  <a:t>=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𝐂𝐚𝐩_(𝐧_𝐩𝐥 )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shift(pl_y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, 𝐝𝐜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)′</a:t>
                </a:r>
                <a:endParaRPr lang="en-US" sz="1100" b="0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94" name="TextBox 193">
                <a:extLst>
                  <a:ext uri="{FF2B5EF4-FFF2-40B4-BE49-F238E27FC236}">
                    <a16:creationId xmlns:a16="http://schemas.microsoft.com/office/drawing/2014/main" id="{F40546A4-AD87-4C85-A925-17C52D920E3E}"/>
                  </a:ext>
                </a:extLst>
              </xdr:cNvPr>
              <xdr:cNvSpPr txBox="1"/>
            </xdr:nvSpPr>
            <xdr:spPr>
              <a:xfrm>
                <a:off x="25749369" y="28628230"/>
                <a:ext cx="2890653" cy="35295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 algn="l"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it-IT" b="1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0: </m:t>
                          </m:r>
                          <m:r>
                            <a:rPr lang="it-IT" b="1" i="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𝐂𝐚𝐩</m:t>
                          </m:r>
                        </m:e>
                        <m:sub>
                          <m:sSub>
                            <m:sSubPr>
                              <m:ctrlPr>
                                <a:rPr lang="it-IT" b="1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it-IT" b="1" i="0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𝐧</m:t>
                              </m:r>
                            </m:e>
                            <m:sub>
                              <m:r>
                                <a:rPr lang="it-IT" b="1" i="0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𝐛𝐮</m:t>
                              </m:r>
                            </m:sub>
                          </m:sSub>
                        </m:sub>
                      </m:sSub>
                      <m:r>
                        <a:rPr lang="it-IT" b="1" i="0"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𝐂𝐚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e>
                        <m:sub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𝐧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𝐟𝐢</m:t>
                              </m:r>
                            </m:sub>
                          </m:sSub>
                        </m:sub>
                      </m:sSub>
                      <m:r>
                        <m:rPr>
                          <m:sty m:val="p"/>
                        </m:rP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shift</m:t>
                      </m:r>
                      <m:d>
                        <m:dPr>
                          <m:ctrlPr>
                            <a:rPr lang="it-IT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m:rPr>
                              <m:sty m:val="p"/>
                            </m:rP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p</m:t>
                          </m:r>
                          <m:sSub>
                            <m:sSubPr>
                              <m:ctrlPr>
                                <a:rPr lang="it-IT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m:rPr>
                                  <m:sty m:val="p"/>
                                </m:rPr>
                                <a:rPr lang="it-IT" sz="11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l</m:t>
                              </m:r>
                            </m:e>
                            <m:sub>
                              <m:r>
                                <m:rPr>
                                  <m:sty m:val="p"/>
                                </m:rPr>
                                <a:rPr lang="it-IT" sz="11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y</m:t>
                              </m:r>
                            </m:sub>
                          </m:sSub>
                          <m: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 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𝐜𝐨</m:t>
                          </m:r>
                        </m:e>
                      </m:d>
                      <m:r>
                        <a:rPr lang="it-IT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′</m:t>
                      </m:r>
                    </m:oMath>
                  </m:oMathPara>
                </a14:m>
                <a:endParaRPr lang="en-US" sz="1100" b="0" i="0" kern="1200"/>
              </a:p>
            </xdr:txBody>
          </xdr:sp>
        </mc:Choice>
        <mc:Fallback xmlns="">
          <xdr:sp macro="" textlink="">
            <xdr:nvSpPr>
              <xdr:cNvPr id="194" name="TextBox 193">
                <a:extLst>
                  <a:ext uri="{FF2B5EF4-FFF2-40B4-BE49-F238E27FC236}">
                    <a16:creationId xmlns:a16="http://schemas.microsoft.com/office/drawing/2014/main" id="{F40546A4-AD87-4C85-A925-17C52D920E3E}"/>
                  </a:ext>
                </a:extLst>
              </xdr:cNvPr>
              <xdr:cNvSpPr txBox="1"/>
            </xdr:nvSpPr>
            <xdr:spPr>
              <a:xfrm>
                <a:off x="25749369" y="28628230"/>
                <a:ext cx="2890653" cy="35295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 algn="l"/>
                <a:r>
                  <a:rPr lang="it-IT" b="1" i="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〖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 </a:t>
                </a:r>
                <a:r>
                  <a:rPr lang="it-IT" b="1" i="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𝐂𝐚𝐩〗_(𝐧_𝐛𝐮 )</a:t>
                </a:r>
                <a:r>
                  <a:rPr lang="it-IT" b="1" i="0">
                    <a:latin typeface="Cambria Math" panose="02040503050406030204" pitchFamily="18" charset="0"/>
                  </a:rPr>
                  <a:t>=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𝐂𝐚𝐩_(𝐧_𝐟𝐢 )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shift(pl_y, 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𝐜𝐨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)′</a:t>
                </a:r>
                <a:endParaRPr lang="en-US" sz="1100" b="0" i="0" kern="1200"/>
              </a:p>
            </xdr:txBody>
          </xdr:sp>
        </mc:Fallback>
      </mc:AlternateContent>
    </xdr:grpSp>
    <xdr:clientData/>
  </xdr:twoCellAnchor>
  <xdr:oneCellAnchor>
    <xdr:from>
      <xdr:col>52</xdr:col>
      <xdr:colOff>88392</xdr:colOff>
      <xdr:row>46</xdr:row>
      <xdr:rowOff>142875</xdr:rowOff>
    </xdr:from>
    <xdr:ext cx="238783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CasellaDiTesto 60">
              <a:extLst>
                <a:ext uri="{FF2B5EF4-FFF2-40B4-BE49-F238E27FC236}">
                  <a16:creationId xmlns:a16="http://schemas.microsoft.com/office/drawing/2014/main" id="{3D44CE30-906C-44CF-A8B4-9F989F763D7C}"/>
                </a:ext>
              </a:extLst>
            </xdr:cNvPr>
            <xdr:cNvSpPr txBox="1"/>
          </xdr:nvSpPr>
          <xdr:spPr>
            <a:xfrm>
              <a:off x="25189568" y="8087846"/>
              <a:ext cx="238783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𝐩</m:t>
                    </m:r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𝐲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04" name="CasellaDiTesto 60">
              <a:extLst>
                <a:ext uri="{FF2B5EF4-FFF2-40B4-BE49-F238E27FC236}">
                  <a16:creationId xmlns:a16="http://schemas.microsoft.com/office/drawing/2014/main" id="{3D44CE30-906C-44CF-A8B4-9F989F763D7C}"/>
                </a:ext>
              </a:extLst>
            </xdr:cNvPr>
            <xdr:cNvSpPr txBox="1"/>
          </xdr:nvSpPr>
          <xdr:spPr>
            <a:xfrm>
              <a:off x="25189568" y="8087846"/>
              <a:ext cx="238783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𝐩𝐫_𝐲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37</xdr:col>
      <xdr:colOff>382682</xdr:colOff>
      <xdr:row>187</xdr:row>
      <xdr:rowOff>133350</xdr:rowOff>
    </xdr:from>
    <xdr:ext cx="419474" cy="184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16AD79E3-348E-4AB6-B94C-8893664BF024}"/>
                </a:ext>
              </a:extLst>
            </xdr:cNvPr>
            <xdr:cNvSpPr txBox="1"/>
          </xdr:nvSpPr>
          <xdr:spPr>
            <a:xfrm>
              <a:off x="19146932" y="28384500"/>
              <a:ext cx="419474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𝐚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𝐯</m:t>
                        </m:r>
                      </m:e>
                      <m:sub>
                        <m:sSub>
                          <m:sSubPr>
                            <m:ctrlPr>
                              <a:rPr lang="it-IT" sz="1100" b="1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𝐡</m:t>
                            </m:r>
                          </m:e>
                          <m:sub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𝐦𝐚𝐱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16AD79E3-348E-4AB6-B94C-8893664BF024}"/>
                </a:ext>
              </a:extLst>
            </xdr:cNvPr>
            <xdr:cNvSpPr txBox="1"/>
          </xdr:nvSpPr>
          <xdr:spPr>
            <a:xfrm>
              <a:off x="19146932" y="28384500"/>
              <a:ext cx="419474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𝐚𝐯_(𝐡_𝐦𝐚𝐱 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39</xdr:col>
      <xdr:colOff>9898</xdr:colOff>
      <xdr:row>187</xdr:row>
      <xdr:rowOff>133350</xdr:rowOff>
    </xdr:from>
    <xdr:ext cx="408573" cy="1840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73358D89-739A-4651-9EAB-D967D8E3FF15}"/>
                </a:ext>
              </a:extLst>
            </xdr:cNvPr>
            <xdr:cNvSpPr txBox="1"/>
          </xdr:nvSpPr>
          <xdr:spPr>
            <a:xfrm>
              <a:off x="19593298" y="28384500"/>
              <a:ext cx="408573" cy="1840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𝐚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𝐯</m:t>
                        </m:r>
                      </m:e>
                      <m:sub>
                        <m:sSub>
                          <m:sSubPr>
                            <m:ctrlPr>
                              <a:rPr lang="it-IT" sz="1100" b="1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𝐡</m:t>
                            </m:r>
                          </m:e>
                          <m:sub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73358D89-739A-4651-9EAB-D967D8E3FF15}"/>
                </a:ext>
              </a:extLst>
            </xdr:cNvPr>
            <xdr:cNvSpPr txBox="1"/>
          </xdr:nvSpPr>
          <xdr:spPr>
            <a:xfrm>
              <a:off x="19593298" y="28384500"/>
              <a:ext cx="408573" cy="1840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𝐚𝐯_(𝐡_𝐦𝐢𝐧 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52</xdr:col>
      <xdr:colOff>54215</xdr:colOff>
      <xdr:row>45</xdr:row>
      <xdr:rowOff>44637</xdr:rowOff>
    </xdr:from>
    <xdr:ext cx="230383" cy="1829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CasellaDiTesto 60">
              <a:extLst>
                <a:ext uri="{FF2B5EF4-FFF2-40B4-BE49-F238E27FC236}">
                  <a16:creationId xmlns:a16="http://schemas.microsoft.com/office/drawing/2014/main" id="{342EDAB5-DD19-11F2-2627-BE14436B25AB}"/>
                </a:ext>
              </a:extLst>
            </xdr:cNvPr>
            <xdr:cNvSpPr txBox="1"/>
          </xdr:nvSpPr>
          <xdr:spPr>
            <a:xfrm>
              <a:off x="25155391" y="7832725"/>
              <a:ext cx="230383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𝑝</m:t>
                    </m:r>
                    <m:sSub>
                      <m:sSubPr>
                        <m:ctrlPr>
                          <a:rPr lang="it-IT" sz="11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it-IT" sz="11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</m:oMath>
                </m:oMathPara>
              </a14:m>
              <a:endParaRPr lang="it-IT" sz="1100" b="0" i="1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82" name="CasellaDiTesto 60">
              <a:extLst>
                <a:ext uri="{FF2B5EF4-FFF2-40B4-BE49-F238E27FC236}">
                  <a16:creationId xmlns:a16="http://schemas.microsoft.com/office/drawing/2014/main" id="{342EDAB5-DD19-11F2-2627-BE14436B25AB}"/>
                </a:ext>
              </a:extLst>
            </xdr:cNvPr>
            <xdr:cNvSpPr txBox="1"/>
          </xdr:nvSpPr>
          <xdr:spPr>
            <a:xfrm>
              <a:off x="25155391" y="7832725"/>
              <a:ext cx="230383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𝑝𝑙_𝑦</a:t>
              </a:r>
              <a:endParaRPr lang="it-IT" sz="1100" b="0" i="1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52</xdr:col>
      <xdr:colOff>88392</xdr:colOff>
      <xdr:row>47</xdr:row>
      <xdr:rowOff>142875</xdr:rowOff>
    </xdr:from>
    <xdr:ext cx="24282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CasellaDiTesto 60">
              <a:extLst>
                <a:ext uri="{FF2B5EF4-FFF2-40B4-BE49-F238E27FC236}">
                  <a16:creationId xmlns:a16="http://schemas.microsoft.com/office/drawing/2014/main" id="{A3E4FCB7-BB36-4DBA-80DE-14D95623C5AD}"/>
                </a:ext>
              </a:extLst>
            </xdr:cNvPr>
            <xdr:cNvSpPr txBox="1"/>
          </xdr:nvSpPr>
          <xdr:spPr>
            <a:xfrm>
              <a:off x="25189568" y="8244728"/>
              <a:ext cx="24282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𝐩</m:t>
                    </m:r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𝐡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07" name="CasellaDiTesto 60">
              <a:extLst>
                <a:ext uri="{FF2B5EF4-FFF2-40B4-BE49-F238E27FC236}">
                  <a16:creationId xmlns:a16="http://schemas.microsoft.com/office/drawing/2014/main" id="{A3E4FCB7-BB36-4DBA-80DE-14D95623C5AD}"/>
                </a:ext>
              </a:extLst>
            </xdr:cNvPr>
            <xdr:cNvSpPr txBox="1"/>
          </xdr:nvSpPr>
          <xdr:spPr>
            <a:xfrm>
              <a:off x="25189568" y="8244728"/>
              <a:ext cx="24282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𝐩𝐫_𝐡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37</xdr:col>
      <xdr:colOff>18146</xdr:colOff>
      <xdr:row>199</xdr:row>
      <xdr:rowOff>892</xdr:rowOff>
    </xdr:from>
    <xdr:ext cx="664620" cy="1847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BD5FFABC-871A-438C-B2CA-6D670CB54ED5}"/>
                </a:ext>
              </a:extLst>
            </xdr:cNvPr>
            <xdr:cNvSpPr txBox="1"/>
          </xdr:nvSpPr>
          <xdr:spPr>
            <a:xfrm>
              <a:off x="16556243" y="31188945"/>
              <a:ext cx="664620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𝐂𝐚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𝐩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𝐨𝐩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𝐡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𝐧𝐬𝐭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BD5FFABC-871A-438C-B2CA-6D670CB54ED5}"/>
                </a:ext>
              </a:extLst>
            </xdr:cNvPr>
            <xdr:cNvSpPr txBox="1"/>
          </xdr:nvSpPr>
          <xdr:spPr>
            <a:xfrm>
              <a:off x="16556243" y="31188945"/>
              <a:ext cx="664620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𝐂𝐚𝐩_(𝐨𝐩,𝐡,𝐧𝐬𝐭 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28</xdr:col>
      <xdr:colOff>351502</xdr:colOff>
      <xdr:row>147</xdr:row>
      <xdr:rowOff>150523</xdr:rowOff>
    </xdr:from>
    <xdr:ext cx="620105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CasellaDiTesto 60">
              <a:extLst>
                <a:ext uri="{FF2B5EF4-FFF2-40B4-BE49-F238E27FC236}">
                  <a16:creationId xmlns:a16="http://schemas.microsoft.com/office/drawing/2014/main" id="{159616C6-5E99-4A8D-AF60-193993504BF1}"/>
                </a:ext>
              </a:extLst>
            </xdr:cNvPr>
            <xdr:cNvSpPr txBox="1"/>
          </xdr:nvSpPr>
          <xdr:spPr>
            <a:xfrm>
              <a:off x="13115002" y="24544048"/>
              <a:ext cx="62010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𝐯𝐮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𝐧𝐞𝐭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  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𝐭𝐨𝐭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36" name="CasellaDiTesto 60">
              <a:extLst>
                <a:ext uri="{FF2B5EF4-FFF2-40B4-BE49-F238E27FC236}">
                  <a16:creationId xmlns:a16="http://schemas.microsoft.com/office/drawing/2014/main" id="{159616C6-5E99-4A8D-AF60-193993504BF1}"/>
                </a:ext>
              </a:extLst>
            </xdr:cNvPr>
            <xdr:cNvSpPr txBox="1"/>
          </xdr:nvSpPr>
          <xdr:spPr>
            <a:xfrm>
              <a:off x="13115002" y="24544048"/>
              <a:ext cx="62010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𝐑_(𝐯𝐮, 𝐧𝐞𝐭,  𝐭𝐨𝐭)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28</xdr:col>
      <xdr:colOff>364202</xdr:colOff>
      <xdr:row>148</xdr:row>
      <xdr:rowOff>134648</xdr:rowOff>
    </xdr:from>
    <xdr:ext cx="703654" cy="201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CasellaDiTesto 60">
              <a:extLst>
                <a:ext uri="{FF2B5EF4-FFF2-40B4-BE49-F238E27FC236}">
                  <a16:creationId xmlns:a16="http://schemas.microsoft.com/office/drawing/2014/main" id="{6AEA4000-0F3C-4EDE-B984-4D1FB98C452A}"/>
                </a:ext>
              </a:extLst>
            </xdr:cNvPr>
            <xdr:cNvSpPr txBox="1"/>
          </xdr:nvSpPr>
          <xdr:spPr>
            <a:xfrm>
              <a:off x="13127702" y="24690098"/>
              <a:ext cx="703654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𝐯𝐮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𝐧𝐞𝐭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  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𝐭𝐨</m:t>
                        </m:r>
                        <m:sSub>
                          <m:sSubPr>
                            <m:ctrlPr>
                              <a:rPr lang="it-IT" sz="110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𝐭</m:t>
                            </m:r>
                          </m:e>
                          <m:sub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𝐩𝐞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38" name="CasellaDiTesto 60">
              <a:extLst>
                <a:ext uri="{FF2B5EF4-FFF2-40B4-BE49-F238E27FC236}">
                  <a16:creationId xmlns:a16="http://schemas.microsoft.com/office/drawing/2014/main" id="{6AEA4000-0F3C-4EDE-B984-4D1FB98C452A}"/>
                </a:ext>
              </a:extLst>
            </xdr:cNvPr>
            <xdr:cNvSpPr txBox="1"/>
          </xdr:nvSpPr>
          <xdr:spPr>
            <a:xfrm>
              <a:off x="13127702" y="24690098"/>
              <a:ext cx="703654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𝐑_(𝐯𝐮, 𝐧𝐞𝐭,  𝐭𝐨𝐭_𝐩𝐞 )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50</xdr:col>
      <xdr:colOff>393625</xdr:colOff>
      <xdr:row>200</xdr:row>
      <xdr:rowOff>115515</xdr:rowOff>
    </xdr:from>
    <xdr:ext cx="37394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D5401BE9-77C5-4C17-952F-059E23D38247}"/>
                </a:ext>
              </a:extLst>
            </xdr:cNvPr>
            <xdr:cNvSpPr txBox="1"/>
          </xdr:nvSpPr>
          <xdr:spPr>
            <a:xfrm>
              <a:off x="22167775" y="32138565"/>
              <a:ext cx="37394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𝐫𝐚𝐭𝐞𝐬</m:t>
                    </m:r>
                  </m:oMath>
                </m:oMathPara>
              </a14:m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D5401BE9-77C5-4C17-952F-059E23D38247}"/>
                </a:ext>
              </a:extLst>
            </xdr:cNvPr>
            <xdr:cNvSpPr txBox="1"/>
          </xdr:nvSpPr>
          <xdr:spPr>
            <a:xfrm>
              <a:off x="22167775" y="32138565"/>
              <a:ext cx="37394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rgbClr val="FF0000"/>
                  </a:solidFill>
                  <a:latin typeface="Cambria Math" panose="02040503050406030204" pitchFamily="18" charset="0"/>
                </a:rPr>
                <a:t>𝐫𝐚𝐭𝐞𝐬</a:t>
              </a:r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51</xdr:col>
      <xdr:colOff>26818</xdr:colOff>
      <xdr:row>201</xdr:row>
      <xdr:rowOff>143717</xdr:rowOff>
    </xdr:from>
    <xdr:ext cx="310278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EBFC1815-B53C-47A3-A140-D7F1AF88A192}"/>
                </a:ext>
              </a:extLst>
            </xdr:cNvPr>
            <xdr:cNvSpPr txBox="1"/>
          </xdr:nvSpPr>
          <xdr:spPr>
            <a:xfrm>
              <a:off x="23491448" y="33390108"/>
              <a:ext cx="310278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𝐞</m:t>
                    </m:r>
                    <m:sSub>
                      <m:sSubPr>
                        <m:ctrlPr>
                          <a:rPr lang="it-IT" sz="1100" b="1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𝐝</m:t>
                        </m:r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𝐲</m:t>
                        </m:r>
                      </m:sub>
                    </m:sSub>
                  </m:oMath>
                </m:oMathPara>
              </a14:m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EBFC1815-B53C-47A3-A140-D7F1AF88A192}"/>
                </a:ext>
              </a:extLst>
            </xdr:cNvPr>
            <xdr:cNvSpPr txBox="1"/>
          </xdr:nvSpPr>
          <xdr:spPr>
            <a:xfrm>
              <a:off x="23491448" y="33390108"/>
              <a:ext cx="310278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chemeClr val="tx1"/>
                  </a:solidFill>
                  <a:latin typeface="Cambria Math" panose="02040503050406030204" pitchFamily="18" charset="0"/>
                </a:rPr>
                <a:t>𝐞𝐫_(𝐝,𝐲)</a:t>
              </a:r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50</xdr:col>
      <xdr:colOff>409499</xdr:colOff>
      <xdr:row>202</xdr:row>
      <xdr:rowOff>142223</xdr:rowOff>
    </xdr:from>
    <xdr:ext cx="27406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2072187E-2A63-4C3E-96F7-3F235403C2D2}"/>
                </a:ext>
              </a:extLst>
            </xdr:cNvPr>
            <xdr:cNvSpPr txBox="1"/>
          </xdr:nvSpPr>
          <xdr:spPr>
            <a:xfrm>
              <a:off x="23621924" y="33127298"/>
              <a:ext cx="2740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𝐞</m:t>
                    </m:r>
                    <m:sSub>
                      <m:sSubPr>
                        <m:ctrlPr>
                          <a:rPr lang="it-IT" sz="1100" b="1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𝐢</m:t>
                        </m:r>
                      </m:sub>
                    </m:sSub>
                  </m:oMath>
                </m:oMathPara>
              </a14:m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2072187E-2A63-4C3E-96F7-3F235403C2D2}"/>
                </a:ext>
              </a:extLst>
            </xdr:cNvPr>
            <xdr:cNvSpPr txBox="1"/>
          </xdr:nvSpPr>
          <xdr:spPr>
            <a:xfrm>
              <a:off x="23621924" y="33127298"/>
              <a:ext cx="2740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chemeClr val="tx1"/>
                  </a:solidFill>
                  <a:latin typeface="Cambria Math" panose="02040503050406030204" pitchFamily="18" charset="0"/>
                </a:rPr>
                <a:t>𝐞𝐫_𝐢</a:t>
              </a:r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30</xdr:col>
      <xdr:colOff>392597</xdr:colOff>
      <xdr:row>213</xdr:row>
      <xdr:rowOff>100172</xdr:rowOff>
    </xdr:from>
    <xdr:ext cx="18458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0C97E17B-6C94-4DD0-B5DC-C0CE4F2087AE}"/>
                </a:ext>
              </a:extLst>
            </xdr:cNvPr>
            <xdr:cNvSpPr txBox="1"/>
          </xdr:nvSpPr>
          <xdr:spPr>
            <a:xfrm>
              <a:off x="16125656" y="30053496"/>
              <a:ext cx="1845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sub>
                    </m:sSub>
                  </m:oMath>
                </m:oMathPara>
              </a14:m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0C97E17B-6C94-4DD0-B5DC-C0CE4F2087AE}"/>
                </a:ext>
              </a:extLst>
            </xdr:cNvPr>
            <xdr:cNvSpPr txBox="1"/>
          </xdr:nvSpPr>
          <xdr:spPr>
            <a:xfrm>
              <a:off x="16125656" y="30053496"/>
              <a:ext cx="1845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rgbClr val="FF0000"/>
                  </a:solidFill>
                  <a:latin typeface="Cambria Math" panose="02040503050406030204" pitchFamily="18" charset="0"/>
                </a:rPr>
                <a:t>𝐜_𝐫</a:t>
              </a:r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31</xdr:col>
      <xdr:colOff>40278</xdr:colOff>
      <xdr:row>214</xdr:row>
      <xdr:rowOff>135336</xdr:rowOff>
    </xdr:from>
    <xdr:ext cx="21794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28FF28C4-D563-45F3-BD92-A9724E1EDEA1}"/>
                </a:ext>
              </a:extLst>
            </xdr:cNvPr>
            <xdr:cNvSpPr txBox="1"/>
          </xdr:nvSpPr>
          <xdr:spPr>
            <a:xfrm>
              <a:off x="16434484" y="30245542"/>
              <a:ext cx="2179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𝐫𝐮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28FF28C4-D563-45F3-BD92-A9724E1EDEA1}"/>
                </a:ext>
              </a:extLst>
            </xdr:cNvPr>
            <xdr:cNvSpPr txBox="1"/>
          </xdr:nvSpPr>
          <xdr:spPr>
            <a:xfrm>
              <a:off x="16434484" y="30245542"/>
              <a:ext cx="2179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𝐜_𝐫𝐮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31</xdr:col>
      <xdr:colOff>51483</xdr:colOff>
      <xdr:row>216</xdr:row>
      <xdr:rowOff>135335</xdr:rowOff>
    </xdr:from>
    <xdr:ext cx="2105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DD8EDC60-5AC5-4347-B8E3-53A03D471093}"/>
                </a:ext>
              </a:extLst>
            </xdr:cNvPr>
            <xdr:cNvSpPr txBox="1"/>
          </xdr:nvSpPr>
          <xdr:spPr>
            <a:xfrm>
              <a:off x="16445689" y="30559306"/>
              <a:ext cx="2105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𝐫𝐯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DD8EDC60-5AC5-4347-B8E3-53A03D471093}"/>
                </a:ext>
              </a:extLst>
            </xdr:cNvPr>
            <xdr:cNvSpPr txBox="1"/>
          </xdr:nvSpPr>
          <xdr:spPr>
            <a:xfrm>
              <a:off x="16445689" y="30559306"/>
              <a:ext cx="2105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𝐜_𝐫𝐯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31</xdr:col>
      <xdr:colOff>19627</xdr:colOff>
      <xdr:row>225</xdr:row>
      <xdr:rowOff>84111</xdr:rowOff>
    </xdr:from>
    <xdr:ext cx="282931" cy="1736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A3A1BF76-4D11-4EB1-B20D-ED978CD2F7FF}"/>
                </a:ext>
              </a:extLst>
            </xdr:cNvPr>
            <xdr:cNvSpPr txBox="1"/>
          </xdr:nvSpPr>
          <xdr:spPr>
            <a:xfrm>
              <a:off x="16413833" y="31449376"/>
              <a:ext cx="282931" cy="1736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𝐂</m:t>
                    </m:r>
                    <m:sSub>
                      <m:sSubPr>
                        <m:ctrlPr>
                          <a:rPr lang="it-IT" sz="1100" b="1" i="1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𝐂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sub>
                    </m:sSub>
                  </m:oMath>
                </m:oMathPara>
              </a14:m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A3A1BF76-4D11-4EB1-B20D-ED978CD2F7FF}"/>
                </a:ext>
              </a:extLst>
            </xdr:cNvPr>
            <xdr:cNvSpPr txBox="1"/>
          </xdr:nvSpPr>
          <xdr:spPr>
            <a:xfrm>
              <a:off x="16413833" y="31449376"/>
              <a:ext cx="282931" cy="1736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rgbClr val="FF0000"/>
                  </a:solidFill>
                  <a:latin typeface="Cambria Math" panose="02040503050406030204" pitchFamily="18" charset="0"/>
                </a:rPr>
                <a:t>𝐂𝐂_𝐫</a:t>
              </a:r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31</xdr:col>
      <xdr:colOff>67206</xdr:colOff>
      <xdr:row>227</xdr:row>
      <xdr:rowOff>2110</xdr:rowOff>
    </xdr:from>
    <xdr:ext cx="23269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C5FCE7FE-9D55-4A4C-990A-6D4F5545C00F}"/>
                </a:ext>
              </a:extLst>
            </xdr:cNvPr>
            <xdr:cNvSpPr txBox="1"/>
          </xdr:nvSpPr>
          <xdr:spPr>
            <a:xfrm>
              <a:off x="16461412" y="31681139"/>
              <a:ext cx="2326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𝐂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𝐫𝐮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C5FCE7FE-9D55-4A4C-990A-6D4F5545C00F}"/>
                </a:ext>
              </a:extLst>
            </xdr:cNvPr>
            <xdr:cNvSpPr txBox="1"/>
          </xdr:nvSpPr>
          <xdr:spPr>
            <a:xfrm>
              <a:off x="16461412" y="31681139"/>
              <a:ext cx="2326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𝐂_𝐫𝐮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31</xdr:col>
      <xdr:colOff>64031</xdr:colOff>
      <xdr:row>229</xdr:row>
      <xdr:rowOff>6966</xdr:rowOff>
    </xdr:from>
    <xdr:ext cx="22531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5A62BE54-1811-4327-B937-67A8FFE53A5A}"/>
                </a:ext>
              </a:extLst>
            </xdr:cNvPr>
            <xdr:cNvSpPr txBox="1"/>
          </xdr:nvSpPr>
          <xdr:spPr>
            <a:xfrm>
              <a:off x="16458237" y="31999760"/>
              <a:ext cx="22531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𝐂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𝐫𝐯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5A62BE54-1811-4327-B937-67A8FFE53A5A}"/>
                </a:ext>
              </a:extLst>
            </xdr:cNvPr>
            <xdr:cNvSpPr txBox="1"/>
          </xdr:nvSpPr>
          <xdr:spPr>
            <a:xfrm>
              <a:off x="16458237" y="31999760"/>
              <a:ext cx="22531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𝐂_𝐫𝐯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45</xdr:col>
      <xdr:colOff>97352</xdr:colOff>
      <xdr:row>229</xdr:row>
      <xdr:rowOff>172764</xdr:rowOff>
    </xdr:from>
    <xdr:ext cx="65" cy="172227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9912EE6D-988D-4AC3-8B14-C27EF5985BD7}"/>
            </a:ext>
          </a:extLst>
        </xdr:cNvPr>
        <xdr:cNvSpPr txBox="1"/>
      </xdr:nvSpPr>
      <xdr:spPr>
        <a:xfrm>
          <a:off x="22296205" y="3152850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 i="0" kern="1200"/>
        </a:p>
      </xdr:txBody>
    </xdr:sp>
    <xdr:clientData/>
  </xdr:oneCellAnchor>
  <xdr:oneCellAnchor>
    <xdr:from>
      <xdr:col>31</xdr:col>
      <xdr:colOff>54521</xdr:colOff>
      <xdr:row>231</xdr:row>
      <xdr:rowOff>53488</xdr:rowOff>
    </xdr:from>
    <xdr:ext cx="253787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EB7466D5-724D-41C6-9775-93B1F4D4ACB2}"/>
                </a:ext>
              </a:extLst>
            </xdr:cNvPr>
            <xdr:cNvSpPr txBox="1"/>
          </xdr:nvSpPr>
          <xdr:spPr>
            <a:xfrm>
              <a:off x="15574668" y="34713282"/>
              <a:ext cx="253787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𝐂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𝐫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𝐝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EB7466D5-724D-41C6-9775-93B1F4D4ACB2}"/>
                </a:ext>
              </a:extLst>
            </xdr:cNvPr>
            <xdr:cNvSpPr txBox="1"/>
          </xdr:nvSpPr>
          <xdr:spPr>
            <a:xfrm>
              <a:off x="15574668" y="34713282"/>
              <a:ext cx="253787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𝐂_(𝐫,𝐝)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29</xdr:col>
      <xdr:colOff>73042</xdr:colOff>
      <xdr:row>239</xdr:row>
      <xdr:rowOff>153400</xdr:rowOff>
    </xdr:from>
    <xdr:ext cx="518255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4448DA93-3132-422A-B786-8A44F7BE70EE}"/>
                </a:ext>
              </a:extLst>
            </xdr:cNvPr>
            <xdr:cNvSpPr txBox="1"/>
          </xdr:nvSpPr>
          <xdr:spPr>
            <a:xfrm>
              <a:off x="13246117" y="39482125"/>
              <a:ext cx="51825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𝐂</m:t>
                    </m:r>
                    <m:sSub>
                      <m:sSubPr>
                        <m:ctrlPr>
                          <a:rPr lang="it-IT" sz="1100" b="1" i="1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𝐂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𝐭𝐨𝐭</m:t>
                        </m:r>
                      </m:sub>
                    </m:sSub>
                  </m:oMath>
                </m:oMathPara>
              </a14:m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4448DA93-3132-422A-B786-8A44F7BE70EE}"/>
                </a:ext>
              </a:extLst>
            </xdr:cNvPr>
            <xdr:cNvSpPr txBox="1"/>
          </xdr:nvSpPr>
          <xdr:spPr>
            <a:xfrm>
              <a:off x="13246117" y="39482125"/>
              <a:ext cx="51825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rgbClr val="FF0000"/>
                  </a:solidFill>
                  <a:latin typeface="Cambria Math" panose="02040503050406030204" pitchFamily="18" charset="0"/>
                </a:rPr>
                <a:t>𝐂𝐂_𝐭𝐨𝐭</a:t>
              </a:r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31</xdr:col>
      <xdr:colOff>2176</xdr:colOff>
      <xdr:row>244</xdr:row>
      <xdr:rowOff>0</xdr:rowOff>
    </xdr:from>
    <xdr:ext cx="476669" cy="2577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299054B8-8455-46BE-A1BA-1531A34CB2BA}"/>
                </a:ext>
              </a:extLst>
            </xdr:cNvPr>
            <xdr:cNvSpPr txBox="1"/>
          </xdr:nvSpPr>
          <xdr:spPr>
            <a:xfrm>
              <a:off x="15413626" y="38326360"/>
              <a:ext cx="476669" cy="2577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𝐂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𝐫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𝐝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𝐭𝐨𝐭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299054B8-8455-46BE-A1BA-1531A34CB2BA}"/>
                </a:ext>
              </a:extLst>
            </xdr:cNvPr>
            <xdr:cNvSpPr txBox="1"/>
          </xdr:nvSpPr>
          <xdr:spPr>
            <a:xfrm>
              <a:off x="15413626" y="38326360"/>
              <a:ext cx="476669" cy="2577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𝐂_(𝐫,𝐝,𝐭𝐨𝐭)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32</xdr:col>
      <xdr:colOff>37102</xdr:colOff>
      <xdr:row>244</xdr:row>
      <xdr:rowOff>0</xdr:rowOff>
    </xdr:from>
    <xdr:ext cx="545418" cy="2689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F144A1A2-DD3F-45F3-8F0F-DC4D869206D6}"/>
                </a:ext>
              </a:extLst>
            </xdr:cNvPr>
            <xdr:cNvSpPr txBox="1"/>
          </xdr:nvSpPr>
          <xdr:spPr>
            <a:xfrm>
              <a:off x="15858127" y="38328039"/>
              <a:ext cx="545418" cy="2689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𝐂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𝐫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𝐝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𝐭𝐨</m:t>
                        </m:r>
                        <m:sSub>
                          <m:sSubPr>
                            <m:ctrlPr>
                              <a:rPr lang="it-IT" sz="1100" b="1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𝐭</m:t>
                            </m:r>
                          </m:e>
                          <m:sub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𝐭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F144A1A2-DD3F-45F3-8F0F-DC4D869206D6}"/>
                </a:ext>
              </a:extLst>
            </xdr:cNvPr>
            <xdr:cNvSpPr txBox="1"/>
          </xdr:nvSpPr>
          <xdr:spPr>
            <a:xfrm>
              <a:off x="15858127" y="38328039"/>
              <a:ext cx="545418" cy="2689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𝐂_(𝐫,𝐝,𝐭𝐨𝐭_𝐭 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39</xdr:col>
      <xdr:colOff>354228</xdr:colOff>
      <xdr:row>236</xdr:row>
      <xdr:rowOff>153521</xdr:rowOff>
    </xdr:from>
    <xdr:ext cx="476669" cy="2577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6FB80F28-3A53-4098-AC45-EECDF7A0FEDE}"/>
                </a:ext>
              </a:extLst>
            </xdr:cNvPr>
            <xdr:cNvSpPr txBox="1"/>
          </xdr:nvSpPr>
          <xdr:spPr>
            <a:xfrm>
              <a:off x="19080378" y="36377096"/>
              <a:ext cx="476669" cy="2577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𝐂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𝐜𝐚𝐩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6FB80F28-3A53-4098-AC45-EECDF7A0FEDE}"/>
                </a:ext>
              </a:extLst>
            </xdr:cNvPr>
            <xdr:cNvSpPr txBox="1"/>
          </xdr:nvSpPr>
          <xdr:spPr>
            <a:xfrm>
              <a:off x="19080378" y="36377096"/>
              <a:ext cx="476669" cy="2577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𝐂_𝐜𝐚𝐩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39</xdr:col>
      <xdr:colOff>397371</xdr:colOff>
      <xdr:row>237</xdr:row>
      <xdr:rowOff>143996</xdr:rowOff>
    </xdr:from>
    <xdr:ext cx="476669" cy="2577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3A815DC7-1777-4BE2-B64D-EB933D6FBBC8}"/>
                </a:ext>
              </a:extLst>
            </xdr:cNvPr>
            <xdr:cNvSpPr txBox="1"/>
          </xdr:nvSpPr>
          <xdr:spPr>
            <a:xfrm>
              <a:off x="19123521" y="36529496"/>
              <a:ext cx="476669" cy="2577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𝐂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𝐜𝐚𝐩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𝐝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3A815DC7-1777-4BE2-B64D-EB933D6FBBC8}"/>
                </a:ext>
              </a:extLst>
            </xdr:cNvPr>
            <xdr:cNvSpPr txBox="1"/>
          </xdr:nvSpPr>
          <xdr:spPr>
            <a:xfrm>
              <a:off x="19123521" y="36529496"/>
              <a:ext cx="476669" cy="2577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𝐂_(𝐜𝐚𝐩,𝐝)</a:t>
              </a:r>
              <a:endParaRPr lang="en-US" sz="1100" b="1" i="0" kern="1200"/>
            </a:p>
          </xdr:txBody>
        </xdr:sp>
      </mc:Fallback>
    </mc:AlternateContent>
    <xdr:clientData/>
  </xdr:oneCellAnchor>
  <xdr:twoCellAnchor>
    <xdr:from>
      <xdr:col>54</xdr:col>
      <xdr:colOff>40896</xdr:colOff>
      <xdr:row>144</xdr:row>
      <xdr:rowOff>151035</xdr:rowOff>
    </xdr:from>
    <xdr:to>
      <xdr:col>56</xdr:col>
      <xdr:colOff>381627</xdr:colOff>
      <xdr:row>150</xdr:row>
      <xdr:rowOff>66080</xdr:rowOff>
    </xdr:to>
    <xdr:grpSp>
      <xdr:nvGrpSpPr>
        <xdr:cNvPr id="448" name="Group 447">
          <a:extLst>
            <a:ext uri="{FF2B5EF4-FFF2-40B4-BE49-F238E27FC236}">
              <a16:creationId xmlns:a16="http://schemas.microsoft.com/office/drawing/2014/main" id="{0240E46B-598C-5C40-EEB7-EE4C44EEDB2D}"/>
            </a:ext>
          </a:extLst>
        </xdr:cNvPr>
        <xdr:cNvGrpSpPr/>
      </xdr:nvGrpSpPr>
      <xdr:grpSpPr>
        <a:xfrm>
          <a:off x="23370796" y="24503285"/>
          <a:ext cx="1153531" cy="905645"/>
          <a:chOff x="23600520" y="23811809"/>
          <a:chExt cx="1166793" cy="875975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09" name="CasellaDiTesto 60">
                <a:extLst>
                  <a:ext uri="{FF2B5EF4-FFF2-40B4-BE49-F238E27FC236}">
                    <a16:creationId xmlns:a16="http://schemas.microsoft.com/office/drawing/2014/main" id="{15EFB9B8-0289-31F7-15D5-EFDAFD277D31}"/>
                  </a:ext>
                </a:extLst>
              </xdr:cNvPr>
              <xdr:cNvSpPr txBox="1"/>
            </xdr:nvSpPr>
            <xdr:spPr>
              <a:xfrm>
                <a:off x="23615546" y="23811809"/>
                <a:ext cx="977771" cy="23785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14:m>
                  <m:oMath xmlns:m="http://schemas.openxmlformats.org/officeDocument/2006/math">
                    <m:r>
                      <a:rPr lang="it-IT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0: </m:t>
                    </m:r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𝐑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𝐮</m:t>
                        </m:r>
                      </m:sub>
                    </m:sSub>
                    <m:r>
                      <a:rPr lang="it-IT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𝐫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𝐮</m:t>
                        </m:r>
                      </m:sub>
                    </m:sSub>
                    <m:r>
                      <a:rPr lang="it-IT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𝐗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𝐲</m:t>
                        </m:r>
                      </m:sub>
                    </m:sSub>
                  </m:oMath>
                </a14:m>
                <a:r>
                  <a:rPr lang="it-IT" sz="1100" b="0" i="0">
                    <a:solidFill>
                      <a:srgbClr val="FF0000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it-IT" sz="1100" b="0" i="0">
                    <a:solidFill>
                      <a:sysClr val="windowText" lastClr="000000"/>
                    </a:solidFill>
                  </a:rPr>
                  <a:t> </a:t>
                </a:r>
              </a:p>
            </xdr:txBody>
          </xdr:sp>
        </mc:Choice>
        <mc:Fallback xmlns="">
          <xdr:sp macro="" textlink="">
            <xdr:nvSpPr>
              <xdr:cNvPr id="109" name="CasellaDiTesto 60">
                <a:extLst>
                  <a:ext uri="{FF2B5EF4-FFF2-40B4-BE49-F238E27FC236}">
                    <a16:creationId xmlns:a16="http://schemas.microsoft.com/office/drawing/2014/main" id="{15EFB9B8-0289-31F7-15D5-EFDAFD277D31}"/>
                  </a:ext>
                </a:extLst>
              </xdr:cNvPr>
              <xdr:cNvSpPr txBox="1"/>
            </xdr:nvSpPr>
            <xdr:spPr>
              <a:xfrm>
                <a:off x="23615546" y="23811809"/>
                <a:ext cx="977771" cy="23785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 </a:t>
                </a:r>
                <a:r>
                  <a:rPr lang="it-IT" sz="1100" b="1" i="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𝐑_𝐮</a:t>
                </a:r>
                <a:r>
                  <a:rPr lang="it-IT" sz="1100" b="1" i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=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𝐫_𝐮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∙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𝐗_𝐲</a:t>
                </a:r>
                <a:r>
                  <a:rPr lang="it-IT" sz="1100" b="0" i="0">
                    <a:solidFill>
                      <a:srgbClr val="FF0000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it-IT" sz="1100" b="0" i="0">
                    <a:solidFill>
                      <a:sysClr val="windowText" lastClr="000000"/>
                    </a:solidFill>
                  </a:rPr>
                  <a:t> 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10" name="CasellaDiTesto 60">
                <a:extLst>
                  <a:ext uri="{FF2B5EF4-FFF2-40B4-BE49-F238E27FC236}">
                    <a16:creationId xmlns:a16="http://schemas.microsoft.com/office/drawing/2014/main" id="{61198394-4DB8-D824-7C08-1EAC365FC92D}"/>
                  </a:ext>
                </a:extLst>
              </xdr:cNvPr>
              <xdr:cNvSpPr txBox="1"/>
            </xdr:nvSpPr>
            <xdr:spPr>
              <a:xfrm>
                <a:off x="23618277" y="24135396"/>
                <a:ext cx="960276" cy="1747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14:m>
                  <m:oMath xmlns:m="http://schemas.openxmlformats.org/officeDocument/2006/math">
                    <m:r>
                      <a:rPr lang="it-IT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0: </m:t>
                    </m:r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𝐑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𝐞</m:t>
                        </m:r>
                      </m:sub>
                    </m:sSub>
                    <m:r>
                      <a:rPr lang="it-IT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𝐫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𝐞</m:t>
                        </m:r>
                      </m:sub>
                    </m:sSub>
                    <m:r>
                      <a:rPr lang="it-IT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it-IT" sz="1100" b="1" i="1">
                                <a:solidFill>
                                  <a:srgbClr val="FF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it-IT" sz="1100" b="1" i="0">
                                <a:solidFill>
                                  <a:srgbClr val="FF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𝐗</m:t>
                            </m:r>
                          </m:e>
                        </m:acc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𝐞</m:t>
                        </m:r>
                      </m:sub>
                    </m:sSub>
                  </m:oMath>
                </a14:m>
                <a:r>
                  <a:rPr lang="it-IT" sz="1100" b="0" i="0">
                    <a:solidFill>
                      <a:srgbClr val="FF0000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it-IT" sz="1100" b="0" i="0">
                    <a:solidFill>
                      <a:srgbClr val="FF0000"/>
                    </a:solidFill>
                  </a:rPr>
                  <a:t> </a:t>
                </a:r>
                <a:endParaRPr lang="it-IT" sz="1100" b="0" i="0">
                  <a:solidFill>
                    <a:sysClr val="windowText" lastClr="000000"/>
                  </a:solidFill>
                </a:endParaRPr>
              </a:p>
            </xdr:txBody>
          </xdr:sp>
        </mc:Choice>
        <mc:Fallback xmlns="">
          <xdr:sp macro="" textlink="">
            <xdr:nvSpPr>
              <xdr:cNvPr id="110" name="CasellaDiTesto 60">
                <a:extLst>
                  <a:ext uri="{FF2B5EF4-FFF2-40B4-BE49-F238E27FC236}">
                    <a16:creationId xmlns:a16="http://schemas.microsoft.com/office/drawing/2014/main" id="{61198394-4DB8-D824-7C08-1EAC365FC92D}"/>
                  </a:ext>
                </a:extLst>
              </xdr:cNvPr>
              <xdr:cNvSpPr txBox="1"/>
            </xdr:nvSpPr>
            <xdr:spPr>
              <a:xfrm>
                <a:off x="23618277" y="24135396"/>
                <a:ext cx="960276" cy="1747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 </a:t>
                </a:r>
                <a:r>
                  <a:rPr lang="it-IT" sz="1100" b="1" i="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𝐑_𝐞</a:t>
                </a:r>
                <a:r>
                  <a:rPr lang="it-IT" sz="1100" b="1" i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=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𝐫_𝐞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∙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𝐗 ̂_𝐞</a:t>
                </a:r>
                <a:r>
                  <a:rPr lang="it-IT" sz="1100" b="0" i="0">
                    <a:solidFill>
                      <a:srgbClr val="FF0000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it-IT" sz="1100" b="0" i="0">
                    <a:solidFill>
                      <a:srgbClr val="FF0000"/>
                    </a:solidFill>
                  </a:rPr>
                  <a:t> </a:t>
                </a:r>
                <a:endParaRPr lang="it-IT" sz="1100" b="0" i="0">
                  <a:solidFill>
                    <a:sysClr val="windowText" lastClr="000000"/>
                  </a:solidFill>
                </a:endParaRP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2" name="CasellaDiTesto 60">
                <a:extLst>
                  <a:ext uri="{FF2B5EF4-FFF2-40B4-BE49-F238E27FC236}">
                    <a16:creationId xmlns:a16="http://schemas.microsoft.com/office/drawing/2014/main" id="{22315F7B-1057-43F9-A811-E6FE3B159BDB}"/>
                  </a:ext>
                </a:extLst>
              </xdr:cNvPr>
              <xdr:cNvSpPr txBox="1"/>
            </xdr:nvSpPr>
            <xdr:spPr>
              <a:xfrm>
                <a:off x="23600520" y="24441952"/>
                <a:ext cx="1166793" cy="24583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it-IT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𝐑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𝐯𝐞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𝐭𝐨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𝐭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𝐩𝐞</m:t>
                              </m:r>
                            </m:sub>
                          </m:sSub>
                        </m:sub>
                      </m:sSub>
                      <m:r>
                        <a:rPr lang="it-IT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sub>
                      </m:sSub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𝐑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𝐯𝐞</m:t>
                          </m:r>
                        </m:sub>
                      </m:sSub>
                    </m:oMath>
                  </m:oMathPara>
                </a14:m>
                <a:endParaRPr lang="it-IT" sz="1100" b="0" i="0">
                  <a:solidFill>
                    <a:sysClr val="windowText" lastClr="000000"/>
                  </a:solidFill>
                </a:endParaRPr>
              </a:p>
            </xdr:txBody>
          </xdr:sp>
        </mc:Choice>
        <mc:Fallback xmlns="">
          <xdr:sp macro="" textlink="">
            <xdr:nvSpPr>
              <xdr:cNvPr id="202" name="CasellaDiTesto 60">
                <a:extLst>
                  <a:ext uri="{FF2B5EF4-FFF2-40B4-BE49-F238E27FC236}">
                    <a16:creationId xmlns:a16="http://schemas.microsoft.com/office/drawing/2014/main" id="{22315F7B-1057-43F9-A811-E6FE3B159BDB}"/>
                  </a:ext>
                </a:extLst>
              </xdr:cNvPr>
              <xdr:cNvSpPr txBox="1"/>
            </xdr:nvSpPr>
            <xdr:spPr>
              <a:xfrm>
                <a:off x="23600520" y="24441952"/>
                <a:ext cx="1166793" cy="24583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𝐑_(𝐯𝐞,𝐭𝐨𝐭_𝐩𝐞 )</a:t>
                </a:r>
                <a:r>
                  <a:rPr lang="it-IT" sz="1100" b="1" i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=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𝐢_𝐩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𝐑_𝐯𝐞</a:t>
                </a:r>
                <a:endParaRPr lang="it-IT" sz="1100" b="0" i="0">
                  <a:solidFill>
                    <a:sysClr val="windowText" lastClr="000000"/>
                  </a:solidFill>
                </a:endParaRPr>
              </a:p>
            </xdr:txBody>
          </xdr:sp>
        </mc:Fallback>
      </mc:AlternateContent>
    </xdr:grpSp>
    <xdr:clientData/>
  </xdr:twoCellAnchor>
  <xdr:twoCellAnchor>
    <xdr:from>
      <xdr:col>30</xdr:col>
      <xdr:colOff>151723</xdr:colOff>
      <xdr:row>236</xdr:row>
      <xdr:rowOff>138</xdr:rowOff>
    </xdr:from>
    <xdr:to>
      <xdr:col>30</xdr:col>
      <xdr:colOff>254000</xdr:colOff>
      <xdr:row>245</xdr:row>
      <xdr:rowOff>57150</xdr:rowOff>
    </xdr:to>
    <xdr:sp macro="" textlink="">
      <xdr:nvSpPr>
        <xdr:cNvPr id="219" name="Right Brace 218">
          <a:extLst>
            <a:ext uri="{FF2B5EF4-FFF2-40B4-BE49-F238E27FC236}">
              <a16:creationId xmlns:a16="http://schemas.microsoft.com/office/drawing/2014/main" id="{14F6EA1E-7168-45CC-AD21-87CDE2AC0ADB}"/>
            </a:ext>
          </a:extLst>
        </xdr:cNvPr>
        <xdr:cNvSpPr/>
      </xdr:nvSpPr>
      <xdr:spPr>
        <a:xfrm flipH="1">
          <a:off x="13734373" y="38843088"/>
          <a:ext cx="102277" cy="1514337"/>
        </a:xfrm>
        <a:prstGeom prst="rightBrace">
          <a:avLst>
            <a:gd name="adj1" fmla="val 8333"/>
            <a:gd name="adj2" fmla="val 48925"/>
          </a:avLst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34</xdr:col>
      <xdr:colOff>56159</xdr:colOff>
      <xdr:row>166</xdr:row>
      <xdr:rowOff>153074</xdr:rowOff>
    </xdr:from>
    <xdr:to>
      <xdr:col>34</xdr:col>
      <xdr:colOff>345597</xdr:colOff>
      <xdr:row>179</xdr:row>
      <xdr:rowOff>44227</xdr:rowOff>
    </xdr:to>
    <xdr:sp macro="" textlink="">
      <xdr:nvSpPr>
        <xdr:cNvPr id="522" name="Right Brace 219">
          <a:extLst>
            <a:ext uri="{FF2B5EF4-FFF2-40B4-BE49-F238E27FC236}">
              <a16:creationId xmlns:a16="http://schemas.microsoft.com/office/drawing/2014/main" id="{20EFA2C8-E8A7-466B-975A-4A3B67248F21}"/>
            </a:ext>
          </a:extLst>
        </xdr:cNvPr>
        <xdr:cNvSpPr/>
      </xdr:nvSpPr>
      <xdr:spPr>
        <a:xfrm flipH="1">
          <a:off x="15355163" y="26376326"/>
          <a:ext cx="289438" cy="1973166"/>
        </a:xfrm>
        <a:prstGeom prst="rightBrace">
          <a:avLst>
            <a:gd name="adj1" fmla="val 8333"/>
            <a:gd name="adj2" fmla="val 48925"/>
          </a:avLst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oneCellAnchor>
    <xdr:from>
      <xdr:col>22</xdr:col>
      <xdr:colOff>3037469</xdr:colOff>
      <xdr:row>99</xdr:row>
      <xdr:rowOff>115957</xdr:rowOff>
    </xdr:from>
    <xdr:ext cx="378502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3" name="CasellaDiTesto 60">
              <a:extLst>
                <a:ext uri="{FF2B5EF4-FFF2-40B4-BE49-F238E27FC236}">
                  <a16:creationId xmlns:a16="http://schemas.microsoft.com/office/drawing/2014/main" id="{31074547-1885-4F0E-B662-E9A3E877FD69}"/>
                </a:ext>
              </a:extLst>
            </xdr:cNvPr>
            <xdr:cNvSpPr txBox="1"/>
          </xdr:nvSpPr>
          <xdr:spPr>
            <a:xfrm>
              <a:off x="13066734" y="15905045"/>
              <a:ext cx="378502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𝐂𝐔</m:t>
                    </m:r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𝐑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𝐲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233" name="CasellaDiTesto 60">
              <a:extLst>
                <a:ext uri="{FF2B5EF4-FFF2-40B4-BE49-F238E27FC236}">
                  <a16:creationId xmlns:a16="http://schemas.microsoft.com/office/drawing/2014/main" id="{31074547-1885-4F0E-B662-E9A3E877FD69}"/>
                </a:ext>
              </a:extLst>
            </xdr:cNvPr>
            <xdr:cNvSpPr txBox="1"/>
          </xdr:nvSpPr>
          <xdr:spPr>
            <a:xfrm>
              <a:off x="13066734" y="15905045"/>
              <a:ext cx="378502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𝐂𝐔𝐑_𝐲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26</xdr:col>
      <xdr:colOff>26262</xdr:colOff>
      <xdr:row>107</xdr:row>
      <xdr:rowOff>93545</xdr:rowOff>
    </xdr:from>
    <xdr:ext cx="3814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4" name="CasellaDiTesto 60">
              <a:extLst>
                <a:ext uri="{FF2B5EF4-FFF2-40B4-BE49-F238E27FC236}">
                  <a16:creationId xmlns:a16="http://schemas.microsoft.com/office/drawing/2014/main" id="{E6B5073F-941F-489E-B9FE-EBD65EAF434B}"/>
                </a:ext>
              </a:extLst>
            </xdr:cNvPr>
            <xdr:cNvSpPr txBox="1"/>
          </xdr:nvSpPr>
          <xdr:spPr>
            <a:xfrm>
              <a:off x="14347380" y="17137692"/>
              <a:ext cx="3814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𝐂𝐔</m:t>
                    </m:r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𝐑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𝐡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234" name="CasellaDiTesto 60">
              <a:extLst>
                <a:ext uri="{FF2B5EF4-FFF2-40B4-BE49-F238E27FC236}">
                  <a16:creationId xmlns:a16="http://schemas.microsoft.com/office/drawing/2014/main" id="{E6B5073F-941F-489E-B9FE-EBD65EAF434B}"/>
                </a:ext>
              </a:extLst>
            </xdr:cNvPr>
            <xdr:cNvSpPr txBox="1"/>
          </xdr:nvSpPr>
          <xdr:spPr>
            <a:xfrm>
              <a:off x="14347380" y="17137692"/>
              <a:ext cx="3814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𝐂𝐔𝐑_𝐡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27</xdr:col>
      <xdr:colOff>37468</xdr:colOff>
      <xdr:row>107</xdr:row>
      <xdr:rowOff>107926</xdr:rowOff>
    </xdr:from>
    <xdr:ext cx="3814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5" name="CasellaDiTesto 60">
              <a:extLst>
                <a:ext uri="{FF2B5EF4-FFF2-40B4-BE49-F238E27FC236}">
                  <a16:creationId xmlns:a16="http://schemas.microsoft.com/office/drawing/2014/main" id="{43A0135D-0A91-4CD7-B03F-6035AC157281}"/>
                </a:ext>
              </a:extLst>
            </xdr:cNvPr>
            <xdr:cNvSpPr txBox="1"/>
          </xdr:nvSpPr>
          <xdr:spPr>
            <a:xfrm>
              <a:off x="14773203" y="17152073"/>
              <a:ext cx="3814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𝐂𝐔</m:t>
                    </m:r>
                    <m:sSub>
                      <m:sSubPr>
                        <m:ctrlPr>
                          <a:rPr lang="it-IT" sz="11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𝐑</m:t>
                        </m:r>
                      </m:e>
                      <m:sub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𝐡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chemeClr val="tx1"/>
                </a:solidFill>
              </a:endParaRPr>
            </a:p>
          </xdr:txBody>
        </xdr:sp>
      </mc:Choice>
      <mc:Fallback xmlns="">
        <xdr:sp macro="" textlink="">
          <xdr:nvSpPr>
            <xdr:cNvPr id="235" name="CasellaDiTesto 60">
              <a:extLst>
                <a:ext uri="{FF2B5EF4-FFF2-40B4-BE49-F238E27FC236}">
                  <a16:creationId xmlns:a16="http://schemas.microsoft.com/office/drawing/2014/main" id="{43A0135D-0A91-4CD7-B03F-6035AC157281}"/>
                </a:ext>
              </a:extLst>
            </xdr:cNvPr>
            <xdr:cNvSpPr txBox="1"/>
          </xdr:nvSpPr>
          <xdr:spPr>
            <a:xfrm>
              <a:off x="14773203" y="17152073"/>
              <a:ext cx="3814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𝐂𝐔𝐑_𝐡</a:t>
              </a:r>
              <a:endParaRPr lang="it-IT" sz="1100" b="1" i="0">
                <a:solidFill>
                  <a:schemeClr val="tx1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396055</xdr:colOff>
      <xdr:row>99</xdr:row>
      <xdr:rowOff>104751</xdr:rowOff>
    </xdr:from>
    <xdr:ext cx="378502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6" name="CasellaDiTesto 60">
              <a:extLst>
                <a:ext uri="{FF2B5EF4-FFF2-40B4-BE49-F238E27FC236}">
                  <a16:creationId xmlns:a16="http://schemas.microsoft.com/office/drawing/2014/main" id="{60C549E3-A16B-4081-A7F9-32865BE37F07}"/>
                </a:ext>
              </a:extLst>
            </xdr:cNvPr>
            <xdr:cNvSpPr txBox="1"/>
          </xdr:nvSpPr>
          <xdr:spPr>
            <a:xfrm>
              <a:off x="13473320" y="15893839"/>
              <a:ext cx="378502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𝐂𝐔</m:t>
                    </m:r>
                    <m:sSub>
                      <m:sSubPr>
                        <m:ctrlPr>
                          <a:rPr lang="it-IT" sz="11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𝐑</m:t>
                        </m:r>
                      </m:e>
                      <m:sub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𝐲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chemeClr val="tx1"/>
                </a:solidFill>
              </a:endParaRPr>
            </a:p>
          </xdr:txBody>
        </xdr:sp>
      </mc:Choice>
      <mc:Fallback xmlns="">
        <xdr:sp macro="" textlink="">
          <xdr:nvSpPr>
            <xdr:cNvPr id="236" name="CasellaDiTesto 60">
              <a:extLst>
                <a:ext uri="{FF2B5EF4-FFF2-40B4-BE49-F238E27FC236}">
                  <a16:creationId xmlns:a16="http://schemas.microsoft.com/office/drawing/2014/main" id="{60C549E3-A16B-4081-A7F9-32865BE37F07}"/>
                </a:ext>
              </a:extLst>
            </xdr:cNvPr>
            <xdr:cNvSpPr txBox="1"/>
          </xdr:nvSpPr>
          <xdr:spPr>
            <a:xfrm>
              <a:off x="13473320" y="15893839"/>
              <a:ext cx="378502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𝐂𝐔𝐑_𝐲</a:t>
              </a:r>
              <a:endParaRPr lang="it-IT" sz="1100" b="1" i="0">
                <a:solidFill>
                  <a:schemeClr val="tx1"/>
                </a:solidFill>
              </a:endParaRPr>
            </a:p>
          </xdr:txBody>
        </xdr:sp>
      </mc:Fallback>
    </mc:AlternateContent>
    <xdr:clientData/>
  </xdr:oneCellAnchor>
  <xdr:oneCellAnchor>
    <xdr:from>
      <xdr:col>24</xdr:col>
      <xdr:colOff>381676</xdr:colOff>
      <xdr:row>100</xdr:row>
      <xdr:rowOff>130337</xdr:rowOff>
    </xdr:from>
    <xdr:ext cx="434158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7" name="CasellaDiTesto 60">
              <a:extLst>
                <a:ext uri="{FF2B5EF4-FFF2-40B4-BE49-F238E27FC236}">
                  <a16:creationId xmlns:a16="http://schemas.microsoft.com/office/drawing/2014/main" id="{6ED36032-29F9-40DA-A411-3A34E4C89785}"/>
                </a:ext>
              </a:extLst>
            </xdr:cNvPr>
            <xdr:cNvSpPr txBox="1"/>
          </xdr:nvSpPr>
          <xdr:spPr>
            <a:xfrm>
              <a:off x="13873558" y="16076308"/>
              <a:ext cx="434158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𝐂𝐔</m:t>
                    </m:r>
                    <m:sSub>
                      <m:sSubPr>
                        <m:ctrlPr>
                          <a:rPr lang="it-IT" sz="11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𝐑</m:t>
                        </m:r>
                      </m:e>
                      <m:sub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𝐲𝐲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chemeClr val="tx1"/>
                </a:solidFill>
              </a:endParaRPr>
            </a:p>
          </xdr:txBody>
        </xdr:sp>
      </mc:Choice>
      <mc:Fallback xmlns="">
        <xdr:sp macro="" textlink="">
          <xdr:nvSpPr>
            <xdr:cNvPr id="237" name="CasellaDiTesto 60">
              <a:extLst>
                <a:ext uri="{FF2B5EF4-FFF2-40B4-BE49-F238E27FC236}">
                  <a16:creationId xmlns:a16="http://schemas.microsoft.com/office/drawing/2014/main" id="{6ED36032-29F9-40DA-A411-3A34E4C89785}"/>
                </a:ext>
              </a:extLst>
            </xdr:cNvPr>
            <xdr:cNvSpPr txBox="1"/>
          </xdr:nvSpPr>
          <xdr:spPr>
            <a:xfrm>
              <a:off x="13873558" y="16076308"/>
              <a:ext cx="434158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𝐂𝐔𝐑_𝐲𝐲</a:t>
              </a:r>
              <a:endParaRPr lang="it-IT" sz="1100" b="1" i="0">
                <a:solidFill>
                  <a:schemeClr val="tx1"/>
                </a:solidFill>
              </a:endParaRPr>
            </a:p>
          </xdr:txBody>
        </xdr:sp>
      </mc:Fallback>
    </mc:AlternateContent>
    <xdr:clientData/>
  </xdr:oneCellAnchor>
  <xdr:twoCellAnchor>
    <xdr:from>
      <xdr:col>53</xdr:col>
      <xdr:colOff>358355</xdr:colOff>
      <xdr:row>263</xdr:row>
      <xdr:rowOff>46581</xdr:rowOff>
    </xdr:from>
    <xdr:to>
      <xdr:col>65</xdr:col>
      <xdr:colOff>239043</xdr:colOff>
      <xdr:row>280</xdr:row>
      <xdr:rowOff>51071</xdr:rowOff>
    </xdr:to>
    <xdr:grpSp>
      <xdr:nvGrpSpPr>
        <xdr:cNvPr id="423" name="Group 258">
          <a:extLst>
            <a:ext uri="{FF2B5EF4-FFF2-40B4-BE49-F238E27FC236}">
              <a16:creationId xmlns:a16="http://schemas.microsoft.com/office/drawing/2014/main" id="{BDB83B2E-42FD-FDBE-9DC2-60114831FA39}"/>
            </a:ext>
          </a:extLst>
        </xdr:cNvPr>
        <xdr:cNvGrpSpPr/>
      </xdr:nvGrpSpPr>
      <xdr:grpSpPr>
        <a:xfrm>
          <a:off x="23281855" y="44083831"/>
          <a:ext cx="4757488" cy="2811190"/>
          <a:chOff x="24785699" y="40101654"/>
          <a:chExt cx="4785331" cy="2758013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24" name="TextBox 156">
                <a:extLst>
                  <a:ext uri="{FF2B5EF4-FFF2-40B4-BE49-F238E27FC236}">
                    <a16:creationId xmlns:a16="http://schemas.microsoft.com/office/drawing/2014/main" id="{ACB3E6FA-1B00-46EA-85CE-74EF1383E58B}"/>
                  </a:ext>
                </a:extLst>
              </xdr:cNvPr>
              <xdr:cNvSpPr txBox="1"/>
            </xdr:nvSpPr>
            <xdr:spPr>
              <a:xfrm>
                <a:off x="24951990" y="40101654"/>
                <a:ext cx="650529" cy="20903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𝐐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≥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24" name="TextBox 156">
                <a:extLst>
                  <a:ext uri="{FF2B5EF4-FFF2-40B4-BE49-F238E27FC236}">
                    <a16:creationId xmlns:a16="http://schemas.microsoft.com/office/drawing/2014/main" id="{ACB3E6FA-1B00-46EA-85CE-74EF1383E58B}"/>
                  </a:ext>
                </a:extLst>
              </xdr:cNvPr>
              <xdr:cNvSpPr txBox="1"/>
            </xdr:nvSpPr>
            <xdr:spPr>
              <a:xfrm>
                <a:off x="24951990" y="40101654"/>
                <a:ext cx="650529" cy="20903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𝐐_𝐲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≥𝟎 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25" name="TextBox 157">
                <a:extLst>
                  <a:ext uri="{FF2B5EF4-FFF2-40B4-BE49-F238E27FC236}">
                    <a16:creationId xmlns:a16="http://schemas.microsoft.com/office/drawing/2014/main" id="{88BC4A5E-7CC2-400B-AE35-F335D3E74D08}"/>
                  </a:ext>
                </a:extLst>
              </xdr:cNvPr>
              <xdr:cNvSpPr txBox="1"/>
            </xdr:nvSpPr>
            <xdr:spPr>
              <a:xfrm>
                <a:off x="24951989" y="40423153"/>
                <a:ext cx="689642" cy="16160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: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𝐐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≥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25" name="TextBox 157">
                <a:extLst>
                  <a:ext uri="{FF2B5EF4-FFF2-40B4-BE49-F238E27FC236}">
                    <a16:creationId xmlns:a16="http://schemas.microsoft.com/office/drawing/2014/main" id="{88BC4A5E-7CC2-400B-AE35-F335D3E74D08}"/>
                  </a:ext>
                </a:extLst>
              </xdr:cNvPr>
              <xdr:cNvSpPr txBox="1"/>
            </xdr:nvSpPr>
            <xdr:spPr>
              <a:xfrm>
                <a:off x="24951989" y="40423153"/>
                <a:ext cx="689642" cy="16160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: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𝐐_𝐡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≥𝟎 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26" name="TextBox 158">
                <a:extLst>
                  <a:ext uri="{FF2B5EF4-FFF2-40B4-BE49-F238E27FC236}">
                    <a16:creationId xmlns:a16="http://schemas.microsoft.com/office/drawing/2014/main" id="{9282F060-15EC-46B0-A579-530D01486E71}"/>
                  </a:ext>
                </a:extLst>
              </xdr:cNvPr>
              <xdr:cNvSpPr txBox="1"/>
            </xdr:nvSpPr>
            <xdr:spPr>
              <a:xfrm>
                <a:off x="24785699" y="41056985"/>
                <a:ext cx="1115047" cy="18423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: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𝐧𝐬𝐭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≥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26" name="TextBox 158">
                <a:extLst>
                  <a:ext uri="{FF2B5EF4-FFF2-40B4-BE49-F238E27FC236}">
                    <a16:creationId xmlns:a16="http://schemas.microsoft.com/office/drawing/2014/main" id="{9282F060-15EC-46B0-A579-530D01486E71}"/>
                  </a:ext>
                </a:extLst>
              </xdr:cNvPr>
              <xdr:cNvSpPr txBox="1"/>
            </xdr:nvSpPr>
            <xdr:spPr>
              <a:xfrm>
                <a:off x="24785699" y="41056985"/>
                <a:ext cx="1115047" cy="18423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: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𝐗_(𝐲,𝐧𝐬𝐭)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≥𝟎 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27" name="TextBox 159">
                <a:extLst>
                  <a:ext uri="{FF2B5EF4-FFF2-40B4-BE49-F238E27FC236}">
                    <a16:creationId xmlns:a16="http://schemas.microsoft.com/office/drawing/2014/main" id="{3AC65F9A-400C-46E8-BE89-5C84ADB85AA4}"/>
                  </a:ext>
                </a:extLst>
              </xdr:cNvPr>
              <xdr:cNvSpPr txBox="1"/>
            </xdr:nvSpPr>
            <xdr:spPr>
              <a:xfrm>
                <a:off x="24858327" y="40743893"/>
                <a:ext cx="1038615" cy="22815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: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𝐧𝐬𝐭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≥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27" name="TextBox 159">
                <a:extLst>
                  <a:ext uri="{FF2B5EF4-FFF2-40B4-BE49-F238E27FC236}">
                    <a16:creationId xmlns:a16="http://schemas.microsoft.com/office/drawing/2014/main" id="{3AC65F9A-400C-46E8-BE89-5C84ADB85AA4}"/>
                  </a:ext>
                </a:extLst>
              </xdr:cNvPr>
              <xdr:cNvSpPr txBox="1"/>
            </xdr:nvSpPr>
            <xdr:spPr>
              <a:xfrm>
                <a:off x="24858327" y="40743893"/>
                <a:ext cx="1038615" cy="22815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: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𝐗_(𝐡,𝐧𝐬𝐭)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≥𝟎 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28" name="TextBox 166">
                <a:extLst>
                  <a:ext uri="{FF2B5EF4-FFF2-40B4-BE49-F238E27FC236}">
                    <a16:creationId xmlns:a16="http://schemas.microsoft.com/office/drawing/2014/main" id="{82597A06-50CC-49F4-B916-37675ADFB72F}"/>
                  </a:ext>
                </a:extLst>
              </xdr:cNvPr>
              <xdr:cNvSpPr txBox="1"/>
            </xdr:nvSpPr>
            <xdr:spPr>
              <a:xfrm>
                <a:off x="24995072" y="41372350"/>
                <a:ext cx="838824" cy="20837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:</m:t>
                      </m:r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𝐂𝐚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e>
                        <m:sub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𝐧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𝐩𝐥</m:t>
                              </m:r>
                            </m:sub>
                          </m:sSub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≥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28" name="TextBox 166">
                <a:extLst>
                  <a:ext uri="{FF2B5EF4-FFF2-40B4-BE49-F238E27FC236}">
                    <a16:creationId xmlns:a16="http://schemas.microsoft.com/office/drawing/2014/main" id="{82597A06-50CC-49F4-B916-37675ADFB72F}"/>
                  </a:ext>
                </a:extLst>
              </xdr:cNvPr>
              <xdr:cNvSpPr txBox="1"/>
            </xdr:nvSpPr>
            <xdr:spPr>
              <a:xfrm>
                <a:off x="24995072" y="41372350"/>
                <a:ext cx="838824" cy="20837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: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𝐂𝐚𝐩_(𝐧_𝐩𝐥 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≥𝟎 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29" name="CasellaDiTesto 60">
                <a:extLst>
                  <a:ext uri="{FF2B5EF4-FFF2-40B4-BE49-F238E27FC236}">
                    <a16:creationId xmlns:a16="http://schemas.microsoft.com/office/drawing/2014/main" id="{01A1736E-E597-4134-98B8-FDAE36499F5D}"/>
                  </a:ext>
                </a:extLst>
              </xdr:cNvPr>
              <xdr:cNvSpPr txBox="1"/>
            </xdr:nvSpPr>
            <xdr:spPr>
              <a:xfrm>
                <a:off x="25002307" y="42346265"/>
                <a:ext cx="4568723" cy="17290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14:m>
                  <m:oMath xmlns:m="http://schemas.openxmlformats.org/officeDocument/2006/math">
                    <m:r>
                      <a:rPr lang="it-IT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1: </m:t>
                    </m:r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𝐯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𝐛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𝐨𝐮𝐭</m:t>
                        </m:r>
                      </m:sub>
                    </m:sSub>
                    <m:r>
                      <a:rPr lang="it-IT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≥</m:t>
                    </m:r>
                    <m:r>
                      <a:rPr lang="it-IT" sz="1100" b="1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it-IT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𝟎</m:t>
                    </m:r>
                  </m:oMath>
                </a14:m>
                <a:r>
                  <a:rPr lang="it-IT" sz="1100" b="0" i="0">
                    <a:solidFill>
                      <a:sysClr val="windowText" lastClr="000000"/>
                    </a:solidFill>
                  </a:rPr>
                  <a:t>  </a:t>
                </a:r>
              </a:p>
            </xdr:txBody>
          </xdr:sp>
        </mc:Choice>
        <mc:Fallback xmlns="">
          <xdr:sp macro="" textlink="">
            <xdr:nvSpPr>
              <xdr:cNvPr id="429" name="CasellaDiTesto 60">
                <a:extLst>
                  <a:ext uri="{FF2B5EF4-FFF2-40B4-BE49-F238E27FC236}">
                    <a16:creationId xmlns:a16="http://schemas.microsoft.com/office/drawing/2014/main" id="{01A1736E-E597-4134-98B8-FDAE36499F5D}"/>
                  </a:ext>
                </a:extLst>
              </xdr:cNvPr>
              <xdr:cNvSpPr txBox="1"/>
            </xdr:nvSpPr>
            <xdr:spPr>
              <a:xfrm>
                <a:off x="25002307" y="42346265"/>
                <a:ext cx="4568723" cy="17290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1: </a:t>
                </a:r>
                <a:r>
                  <a:rPr lang="it-IT" sz="1100" b="1" i="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𝐫_(𝐯,𝐛,𝐨𝐮𝐭)</a:t>
                </a:r>
                <a:r>
                  <a:rPr lang="it-IT" sz="1100" b="1" i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≥</a:t>
                </a:r>
                <a:r>
                  <a:rPr lang="it-IT" sz="1100" b="1" i="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 </a:t>
                </a:r>
                <a:r>
                  <a:rPr lang="it-IT" sz="1100" b="1" i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𝟎</a:t>
                </a:r>
                <a:r>
                  <a:rPr lang="it-IT" sz="1100" b="0" i="0">
                    <a:solidFill>
                      <a:sysClr val="windowText" lastClr="000000"/>
                    </a:solidFill>
                  </a:rPr>
                  <a:t>  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30" name="CasellaDiTesto 60">
                <a:extLst>
                  <a:ext uri="{FF2B5EF4-FFF2-40B4-BE49-F238E27FC236}">
                    <a16:creationId xmlns:a16="http://schemas.microsoft.com/office/drawing/2014/main" id="{D0B2F3C3-493B-46BA-B254-0D011ED629B7}"/>
                  </a:ext>
                </a:extLst>
              </xdr:cNvPr>
              <xdr:cNvSpPr txBox="1"/>
            </xdr:nvSpPr>
            <xdr:spPr>
              <a:xfrm>
                <a:off x="25003780" y="42681658"/>
                <a:ext cx="1364934" cy="17800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14:m>
                  <m:oMath xmlns:m="http://schemas.openxmlformats.org/officeDocument/2006/math">
                    <m:r>
                      <a:rPr lang="it-IT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1: </m:t>
                    </m:r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𝐫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𝐯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𝐢𝐧</m:t>
                        </m:r>
                      </m:sub>
                    </m:sSub>
                    <m:r>
                      <a:rPr lang="it-IT" sz="1100" b="1" i="1">
                        <a:solidFill>
                          <a:sysClr val="windowText" lastClr="0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≥</m:t>
                    </m:r>
                    <m:r>
                      <a:rPr lang="it-IT" sz="1100" b="1" i="1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it-IT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𝟎</m:t>
                    </m:r>
                  </m:oMath>
                </a14:m>
                <a:r>
                  <a:rPr lang="it-IT" sz="1100" b="0" i="0">
                    <a:solidFill>
                      <a:sysClr val="windowText" lastClr="000000"/>
                    </a:solidFill>
                  </a:rPr>
                  <a:t>  </a:t>
                </a:r>
              </a:p>
            </xdr:txBody>
          </xdr:sp>
        </mc:Choice>
        <mc:Fallback xmlns="">
          <xdr:sp macro="" textlink="">
            <xdr:nvSpPr>
              <xdr:cNvPr id="430" name="CasellaDiTesto 60">
                <a:extLst>
                  <a:ext uri="{FF2B5EF4-FFF2-40B4-BE49-F238E27FC236}">
                    <a16:creationId xmlns:a16="http://schemas.microsoft.com/office/drawing/2014/main" id="{D0B2F3C3-493B-46BA-B254-0D011ED629B7}"/>
                  </a:ext>
                </a:extLst>
              </xdr:cNvPr>
              <xdr:cNvSpPr txBox="1"/>
            </xdr:nvSpPr>
            <xdr:spPr>
              <a:xfrm>
                <a:off x="25003780" y="42681658"/>
                <a:ext cx="1364934" cy="17800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1: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𝐫_(𝐯,𝐛,𝐢𝐧)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≥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</a:t>
                </a:r>
                <a:r>
                  <a:rPr lang="it-IT" sz="1100" b="1" i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𝟎</a:t>
                </a:r>
                <a:r>
                  <a:rPr lang="it-IT" sz="1100" b="0" i="0">
                    <a:solidFill>
                      <a:sysClr val="windowText" lastClr="000000"/>
                    </a:solidFill>
                  </a:rPr>
                  <a:t>  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31" name="TextBox 237">
                <a:extLst>
                  <a:ext uri="{FF2B5EF4-FFF2-40B4-BE49-F238E27FC236}">
                    <a16:creationId xmlns:a16="http://schemas.microsoft.com/office/drawing/2014/main" id="{67028A2A-70B4-40BD-9A61-06F8B2A3A85D}"/>
                  </a:ext>
                </a:extLst>
              </xdr:cNvPr>
              <xdr:cNvSpPr txBox="1"/>
            </xdr:nvSpPr>
            <xdr:spPr>
              <a:xfrm>
                <a:off x="24983764" y="41720298"/>
                <a:ext cx="805004" cy="2392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</m:t>
                      </m:r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𝐂𝐔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𝐑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≥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31" name="TextBox 237">
                <a:extLst>
                  <a:ext uri="{FF2B5EF4-FFF2-40B4-BE49-F238E27FC236}">
                    <a16:creationId xmlns:a16="http://schemas.microsoft.com/office/drawing/2014/main" id="{67028A2A-70B4-40BD-9A61-06F8B2A3A85D}"/>
                  </a:ext>
                </a:extLst>
              </xdr:cNvPr>
              <xdr:cNvSpPr txBox="1"/>
            </xdr:nvSpPr>
            <xdr:spPr>
              <a:xfrm>
                <a:off x="24983764" y="41720298"/>
                <a:ext cx="805004" cy="2392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𝐂𝐔𝐑_𝐲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≥𝟎 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32" name="TextBox 238">
                <a:extLst>
                  <a:ext uri="{FF2B5EF4-FFF2-40B4-BE49-F238E27FC236}">
                    <a16:creationId xmlns:a16="http://schemas.microsoft.com/office/drawing/2014/main" id="{3DF8ADEC-F30E-44A9-8867-3849980AA72E}"/>
                  </a:ext>
                </a:extLst>
              </xdr:cNvPr>
              <xdr:cNvSpPr txBox="1"/>
            </xdr:nvSpPr>
            <xdr:spPr>
              <a:xfrm>
                <a:off x="24985842" y="42017689"/>
                <a:ext cx="808179" cy="24221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</m:t>
                      </m:r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𝐂𝐔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𝐑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≥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32" name="TextBox 238">
                <a:extLst>
                  <a:ext uri="{FF2B5EF4-FFF2-40B4-BE49-F238E27FC236}">
                    <a16:creationId xmlns:a16="http://schemas.microsoft.com/office/drawing/2014/main" id="{3DF8ADEC-F30E-44A9-8867-3849980AA72E}"/>
                  </a:ext>
                </a:extLst>
              </xdr:cNvPr>
              <xdr:cNvSpPr txBox="1"/>
            </xdr:nvSpPr>
            <xdr:spPr>
              <a:xfrm>
                <a:off x="24985842" y="42017689"/>
                <a:ext cx="808179" cy="24221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𝐂𝐔𝐑_𝐡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≥𝟎 </a:t>
                </a:r>
                <a:endParaRPr lang="it-IT" sz="1100" b="1" i="0" kern="1200"/>
              </a:p>
            </xdr:txBody>
          </xdr:sp>
        </mc:Fallback>
      </mc:AlternateContent>
    </xdr:grpSp>
    <xdr:clientData/>
  </xdr:twoCellAnchor>
  <xdr:oneCellAnchor>
    <xdr:from>
      <xdr:col>43</xdr:col>
      <xdr:colOff>177789</xdr:colOff>
      <xdr:row>175</xdr:row>
      <xdr:rowOff>139308</xdr:rowOff>
    </xdr:from>
    <xdr:ext cx="4614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76">
              <a:extLst>
                <a:ext uri="{FF2B5EF4-FFF2-40B4-BE49-F238E27FC236}">
                  <a16:creationId xmlns:a16="http://schemas.microsoft.com/office/drawing/2014/main" id="{DC9583CA-884C-4BDE-870D-07E07D472B6B}"/>
                </a:ext>
              </a:extLst>
            </xdr:cNvPr>
            <xdr:cNvSpPr txBox="1"/>
          </xdr:nvSpPr>
          <xdr:spPr>
            <a:xfrm>
              <a:off x="19194072" y="27803954"/>
              <a:ext cx="4614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𝐬𝐨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𝐦𝐢𝐧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DC9583CA-884C-4BDE-870D-07E07D472B6B}"/>
                </a:ext>
              </a:extLst>
            </xdr:cNvPr>
            <xdr:cNvSpPr txBox="1"/>
          </xdr:nvSpPr>
          <xdr:spPr>
            <a:xfrm>
              <a:off x="19194072" y="27803954"/>
              <a:ext cx="4614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𝐬𝐨𝐜_𝐦𝐢𝐧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42</xdr:col>
      <xdr:colOff>378600</xdr:colOff>
      <xdr:row>176</xdr:row>
      <xdr:rowOff>118179</xdr:rowOff>
    </xdr:from>
    <xdr:ext cx="429092" cy="184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TextBox 140">
              <a:extLst>
                <a:ext uri="{FF2B5EF4-FFF2-40B4-BE49-F238E27FC236}">
                  <a16:creationId xmlns:a16="http://schemas.microsoft.com/office/drawing/2014/main" id="{0F34D8C1-BCDA-4327-B690-3601BB516E41}"/>
                </a:ext>
              </a:extLst>
            </xdr:cNvPr>
            <xdr:cNvSpPr txBox="1"/>
          </xdr:nvSpPr>
          <xdr:spPr>
            <a:xfrm>
              <a:off x="18981852" y="27942980"/>
              <a:ext cx="429092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𝐬𝐨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𝐢</m:t>
                        </m:r>
                        <m:sSub>
                          <m:sSubPr>
                            <m:ctrlPr>
                              <a:rPr lang="it-IT" sz="1100" b="1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𝐧</m:t>
                            </m:r>
                          </m:e>
                          <m:sub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𝐬𝐭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0F34D8C1-BCDA-4327-B690-3601BB516E41}"/>
                </a:ext>
              </a:extLst>
            </xdr:cNvPr>
            <xdr:cNvSpPr txBox="1"/>
          </xdr:nvSpPr>
          <xdr:spPr>
            <a:xfrm>
              <a:off x="18981852" y="27942980"/>
              <a:ext cx="429092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𝐬𝐨𝐜_(𝐢𝐧_𝐬𝐭 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43</xdr:col>
      <xdr:colOff>202092</xdr:colOff>
      <xdr:row>177</xdr:row>
      <xdr:rowOff>135149</xdr:rowOff>
    </xdr:from>
    <xdr:ext cx="44762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5" name="TextBox 142">
              <a:extLst>
                <a:ext uri="{FF2B5EF4-FFF2-40B4-BE49-F238E27FC236}">
                  <a16:creationId xmlns:a16="http://schemas.microsoft.com/office/drawing/2014/main" id="{72200FBE-8A3A-45B2-8DD0-7FDACB906A99}"/>
                </a:ext>
              </a:extLst>
            </xdr:cNvPr>
            <xdr:cNvSpPr txBox="1"/>
          </xdr:nvSpPr>
          <xdr:spPr>
            <a:xfrm>
              <a:off x="19218375" y="28120105"/>
              <a:ext cx="44762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𝐬𝐨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𝐞𝐧𝐝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72200FBE-8A3A-45B2-8DD0-7FDACB906A99}"/>
                </a:ext>
              </a:extLst>
            </xdr:cNvPr>
            <xdr:cNvSpPr txBox="1"/>
          </xdr:nvSpPr>
          <xdr:spPr>
            <a:xfrm>
              <a:off x="19218375" y="28120105"/>
              <a:ext cx="44762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𝐬𝐨𝐜_𝐞𝐧𝐝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44</xdr:col>
      <xdr:colOff>16520</xdr:colOff>
      <xdr:row>176</xdr:row>
      <xdr:rowOff>127572</xdr:rowOff>
    </xdr:from>
    <xdr:ext cx="498277" cy="201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4" name="TextBox 143">
              <a:extLst>
                <a:ext uri="{FF2B5EF4-FFF2-40B4-BE49-F238E27FC236}">
                  <a16:creationId xmlns:a16="http://schemas.microsoft.com/office/drawing/2014/main" id="{358CE979-BB92-43D3-AA5F-B8EF60A5B44D}"/>
                </a:ext>
              </a:extLst>
            </xdr:cNvPr>
            <xdr:cNvSpPr txBox="1"/>
          </xdr:nvSpPr>
          <xdr:spPr>
            <a:xfrm>
              <a:off x="19445834" y="27952373"/>
              <a:ext cx="498277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𝐬𝐨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𝐢</m:t>
                        </m:r>
                        <m:sSub>
                          <m:sSubPr>
                            <m:ctrlPr>
                              <a:rPr lang="it-IT" sz="1100" b="1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𝐧</m:t>
                            </m:r>
                          </m:e>
                          <m:sub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𝐬𝐭</m:t>
                            </m:r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𝐩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358CE979-BB92-43D3-AA5F-B8EF60A5B44D}"/>
                </a:ext>
              </a:extLst>
            </xdr:cNvPr>
            <xdr:cNvSpPr txBox="1"/>
          </xdr:nvSpPr>
          <xdr:spPr>
            <a:xfrm>
              <a:off x="19445834" y="27952373"/>
              <a:ext cx="498277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𝐬𝐨𝐜_(𝐢𝐧_(𝐬𝐭,𝐩) 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43</xdr:col>
      <xdr:colOff>9525</xdr:colOff>
      <xdr:row>247</xdr:row>
      <xdr:rowOff>6350</xdr:rowOff>
    </xdr:from>
    <xdr:ext cx="38311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6219339A-ACB2-4090-B07D-8D13E320A0C7}"/>
                </a:ext>
              </a:extLst>
            </xdr:cNvPr>
            <xdr:cNvSpPr txBox="1"/>
          </xdr:nvSpPr>
          <xdr:spPr>
            <a:xfrm>
              <a:off x="20373975" y="37201475"/>
              <a:ext cx="3831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𝐒𝐎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𝐂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𝐬𝐭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6219339A-ACB2-4090-B07D-8D13E320A0C7}"/>
                </a:ext>
              </a:extLst>
            </xdr:cNvPr>
            <xdr:cNvSpPr txBox="1"/>
          </xdr:nvSpPr>
          <xdr:spPr>
            <a:xfrm>
              <a:off x="20373975" y="37201475"/>
              <a:ext cx="3831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𝐒𝐎𝐂_𝐬𝐭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44</xdr:col>
      <xdr:colOff>0</xdr:colOff>
      <xdr:row>246</xdr:row>
      <xdr:rowOff>158750</xdr:rowOff>
    </xdr:from>
    <xdr:ext cx="443198" cy="201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6EF4D698-D948-4C43-A89F-39E50A565E17}"/>
                </a:ext>
              </a:extLst>
            </xdr:cNvPr>
            <xdr:cNvSpPr txBox="1"/>
          </xdr:nvSpPr>
          <xdr:spPr>
            <a:xfrm>
              <a:off x="20774025" y="37191950"/>
              <a:ext cx="44319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𝐒𝐎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𝐂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𝐬</m:t>
                        </m:r>
                        <m:sSub>
                          <m:sSubPr>
                            <m:ctrlPr>
                              <a:rPr lang="it-IT" sz="1100" b="1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𝐭</m:t>
                            </m:r>
                          </m:e>
                          <m:sub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𝐩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6EF4D698-D948-4C43-A89F-39E50A565E17}"/>
                </a:ext>
              </a:extLst>
            </xdr:cNvPr>
            <xdr:cNvSpPr txBox="1"/>
          </xdr:nvSpPr>
          <xdr:spPr>
            <a:xfrm>
              <a:off x="20774025" y="37191950"/>
              <a:ext cx="44319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𝐒𝐎𝐂_(𝐬𝐭_𝐩 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42</xdr:col>
      <xdr:colOff>301625</xdr:colOff>
      <xdr:row>245</xdr:row>
      <xdr:rowOff>101600</xdr:rowOff>
    </xdr:from>
    <xdr:ext cx="28937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7EA00A91-7921-475F-98B2-BA71CDB11884}"/>
                </a:ext>
              </a:extLst>
            </xdr:cNvPr>
            <xdr:cNvSpPr txBox="1"/>
          </xdr:nvSpPr>
          <xdr:spPr>
            <a:xfrm>
              <a:off x="18799175" y="40401875"/>
              <a:ext cx="2893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𝐒𝐎𝐂</m:t>
                    </m:r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7EA00A91-7921-475F-98B2-BA71CDB11884}"/>
                </a:ext>
              </a:extLst>
            </xdr:cNvPr>
            <xdr:cNvSpPr txBox="1"/>
          </xdr:nvSpPr>
          <xdr:spPr>
            <a:xfrm>
              <a:off x="18799175" y="40401875"/>
              <a:ext cx="2893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rgbClr val="FF0000"/>
                  </a:solidFill>
                  <a:latin typeface="Cambria Math" panose="02040503050406030204" pitchFamily="18" charset="0"/>
                </a:rPr>
                <a:t>𝐒𝐎𝐂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43</xdr:col>
      <xdr:colOff>244475</xdr:colOff>
      <xdr:row>245</xdr:row>
      <xdr:rowOff>101600</xdr:rowOff>
    </xdr:from>
    <xdr:ext cx="28937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60E2FDCD-EDAD-4155-84CD-34612567B437}"/>
                </a:ext>
              </a:extLst>
            </xdr:cNvPr>
            <xdr:cNvSpPr txBox="1"/>
          </xdr:nvSpPr>
          <xdr:spPr>
            <a:xfrm>
              <a:off x="19151600" y="40401875"/>
              <a:ext cx="2893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𝐒𝐎𝐂</m:t>
                    </m:r>
                  </m:oMath>
                </m:oMathPara>
              </a14:m>
              <a:endParaRPr lang="en-US" sz="1100" b="1" i="0" kern="1200">
                <a:solidFill>
                  <a:schemeClr val="tx1"/>
                </a:solidFill>
              </a:endParaRPr>
            </a:p>
          </xdr:txBody>
        </xdr:sp>
      </mc:Choice>
      <mc:Fallback xmlns="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60E2FDCD-EDAD-4155-84CD-34612567B437}"/>
                </a:ext>
              </a:extLst>
            </xdr:cNvPr>
            <xdr:cNvSpPr txBox="1"/>
          </xdr:nvSpPr>
          <xdr:spPr>
            <a:xfrm>
              <a:off x="19151600" y="40401875"/>
              <a:ext cx="2893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chemeClr val="tx1"/>
                  </a:solidFill>
                  <a:latin typeface="Cambria Math" panose="02040503050406030204" pitchFamily="18" charset="0"/>
                </a:rPr>
                <a:t>𝐒𝐎𝐂</a:t>
              </a:r>
              <a:endParaRPr lang="en-US" sz="1100" b="1" i="0" kern="1200">
                <a:solidFill>
                  <a:schemeClr val="tx1"/>
                </a:solidFill>
              </a:endParaRPr>
            </a:p>
          </xdr:txBody>
        </xdr:sp>
      </mc:Fallback>
    </mc:AlternateContent>
    <xdr:clientData/>
  </xdr:oneCellAnchor>
  <xdr:oneCellAnchor>
    <xdr:from>
      <xdr:col>43</xdr:col>
      <xdr:colOff>113396</xdr:colOff>
      <xdr:row>200</xdr:row>
      <xdr:rowOff>124717</xdr:rowOff>
    </xdr:from>
    <xdr:ext cx="767581" cy="1847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0EB3FD02-DB58-4F31-A5B1-7F9347129524}"/>
                </a:ext>
              </a:extLst>
            </xdr:cNvPr>
            <xdr:cNvSpPr txBox="1"/>
          </xdr:nvSpPr>
          <xdr:spPr>
            <a:xfrm>
              <a:off x="20477846" y="32119192"/>
              <a:ext cx="767581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𝐂𝐚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𝐩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𝐨𝐩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𝐡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𝐬𝐭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𝐚𝐥𝐥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0EB3FD02-DB58-4F31-A5B1-7F9347129524}"/>
                </a:ext>
              </a:extLst>
            </xdr:cNvPr>
            <xdr:cNvSpPr txBox="1"/>
          </xdr:nvSpPr>
          <xdr:spPr>
            <a:xfrm>
              <a:off x="20477846" y="32119192"/>
              <a:ext cx="767581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𝐂𝐚𝐩_(𝐨𝐩,𝐡,𝐬𝐭,𝐚𝐥𝐥 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43</xdr:col>
      <xdr:colOff>47395</xdr:colOff>
      <xdr:row>104</xdr:row>
      <xdr:rowOff>132798</xdr:rowOff>
    </xdr:from>
    <xdr:ext cx="302455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5" name="CasellaDiTesto 60">
              <a:extLst>
                <a:ext uri="{FF2B5EF4-FFF2-40B4-BE49-F238E27FC236}">
                  <a16:creationId xmlns:a16="http://schemas.microsoft.com/office/drawing/2014/main" id="{07D68133-EB4D-418E-8CBE-3072EA02D77B}"/>
                </a:ext>
              </a:extLst>
            </xdr:cNvPr>
            <xdr:cNvSpPr txBox="1"/>
          </xdr:nvSpPr>
          <xdr:spPr>
            <a:xfrm>
              <a:off x="20411845" y="17049198"/>
              <a:ext cx="30245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𝐗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𝐡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𝐬𝐭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95" name="CasellaDiTesto 60">
              <a:extLst>
                <a:ext uri="{FF2B5EF4-FFF2-40B4-BE49-F238E27FC236}">
                  <a16:creationId xmlns:a16="http://schemas.microsoft.com/office/drawing/2014/main" id="{07D68133-EB4D-418E-8CBE-3072EA02D77B}"/>
                </a:ext>
              </a:extLst>
            </xdr:cNvPr>
            <xdr:cNvSpPr txBox="1"/>
          </xdr:nvSpPr>
          <xdr:spPr>
            <a:xfrm>
              <a:off x="20411845" y="17049198"/>
              <a:ext cx="30245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𝐗_(𝐡,𝐬𝐭)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44</xdr:col>
      <xdr:colOff>41045</xdr:colOff>
      <xdr:row>104</xdr:row>
      <xdr:rowOff>113748</xdr:rowOff>
    </xdr:from>
    <xdr:ext cx="363240" cy="201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1" name="CasellaDiTesto 60">
              <a:extLst>
                <a:ext uri="{FF2B5EF4-FFF2-40B4-BE49-F238E27FC236}">
                  <a16:creationId xmlns:a16="http://schemas.microsoft.com/office/drawing/2014/main" id="{59F07452-0DAC-4AFF-9DEB-F4DA6C072558}"/>
                </a:ext>
              </a:extLst>
            </xdr:cNvPr>
            <xdr:cNvSpPr txBox="1"/>
          </xdr:nvSpPr>
          <xdr:spPr>
            <a:xfrm>
              <a:off x="20815070" y="17030148"/>
              <a:ext cx="363240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𝐗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𝐡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𝐬</m:t>
                        </m:r>
                        <m:sSub>
                          <m:sSubPr>
                            <m:ctrlPr>
                              <a:rPr lang="it-IT" sz="110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𝐭</m:t>
                            </m:r>
                          </m:e>
                          <m:sub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𝐩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201" name="CasellaDiTesto 60">
              <a:extLst>
                <a:ext uri="{FF2B5EF4-FFF2-40B4-BE49-F238E27FC236}">
                  <a16:creationId xmlns:a16="http://schemas.microsoft.com/office/drawing/2014/main" id="{59F07452-0DAC-4AFF-9DEB-F4DA6C072558}"/>
                </a:ext>
              </a:extLst>
            </xdr:cNvPr>
            <xdr:cNvSpPr txBox="1"/>
          </xdr:nvSpPr>
          <xdr:spPr>
            <a:xfrm>
              <a:off x="20815070" y="17030148"/>
              <a:ext cx="363240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𝐗_(𝐡,𝐬𝐭_𝐩 )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45</xdr:col>
      <xdr:colOff>21995</xdr:colOff>
      <xdr:row>104</xdr:row>
      <xdr:rowOff>145498</xdr:rowOff>
    </xdr:from>
    <xdr:ext cx="402418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2" name="CasellaDiTesto 60">
              <a:extLst>
                <a:ext uri="{FF2B5EF4-FFF2-40B4-BE49-F238E27FC236}">
                  <a16:creationId xmlns:a16="http://schemas.microsoft.com/office/drawing/2014/main" id="{A73E39C6-143D-4879-9DFD-2CA029F616EE}"/>
                </a:ext>
              </a:extLst>
            </xdr:cNvPr>
            <xdr:cNvSpPr txBox="1"/>
          </xdr:nvSpPr>
          <xdr:spPr>
            <a:xfrm>
              <a:off x="21205595" y="17061898"/>
              <a:ext cx="402418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𝐗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𝐡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𝐛𝐞𝐯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232" name="CasellaDiTesto 60">
              <a:extLst>
                <a:ext uri="{FF2B5EF4-FFF2-40B4-BE49-F238E27FC236}">
                  <a16:creationId xmlns:a16="http://schemas.microsoft.com/office/drawing/2014/main" id="{A73E39C6-143D-4879-9DFD-2CA029F616EE}"/>
                </a:ext>
              </a:extLst>
            </xdr:cNvPr>
            <xdr:cNvSpPr txBox="1"/>
          </xdr:nvSpPr>
          <xdr:spPr>
            <a:xfrm>
              <a:off x="21205595" y="17061898"/>
              <a:ext cx="402418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𝐗_(𝐡,𝐛𝐞𝐯)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twoCellAnchor>
    <xdr:from>
      <xdr:col>45</xdr:col>
      <xdr:colOff>7021</xdr:colOff>
      <xdr:row>107</xdr:row>
      <xdr:rowOff>64400</xdr:rowOff>
    </xdr:from>
    <xdr:to>
      <xdr:col>45</xdr:col>
      <xdr:colOff>409574</xdr:colOff>
      <xdr:row>108</xdr:row>
      <xdr:rowOff>28578</xdr:rowOff>
    </xdr:to>
    <xdr:sp macro="" textlink="">
      <xdr:nvSpPr>
        <xdr:cNvPr id="240" name="Right Brace 239">
          <a:extLst>
            <a:ext uri="{FF2B5EF4-FFF2-40B4-BE49-F238E27FC236}">
              <a16:creationId xmlns:a16="http://schemas.microsoft.com/office/drawing/2014/main" id="{2A5DAC07-5F68-426C-AC4B-A6C625576CD1}"/>
            </a:ext>
          </a:extLst>
        </xdr:cNvPr>
        <xdr:cNvSpPr/>
      </xdr:nvSpPr>
      <xdr:spPr>
        <a:xfrm rot="5400000">
          <a:off x="21328846" y="17328350"/>
          <a:ext cx="126103" cy="402553"/>
        </a:xfrm>
        <a:prstGeom prst="rightBrac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oneCellAnchor>
    <xdr:from>
      <xdr:col>45</xdr:col>
      <xdr:colOff>9482</xdr:colOff>
      <xdr:row>108</xdr:row>
      <xdr:rowOff>56560</xdr:rowOff>
    </xdr:from>
    <xdr:ext cx="366126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1" name="CasellaDiTesto 60">
              <a:extLst>
                <a:ext uri="{FF2B5EF4-FFF2-40B4-BE49-F238E27FC236}">
                  <a16:creationId xmlns:a16="http://schemas.microsoft.com/office/drawing/2014/main" id="{F941D536-E676-41B0-869E-DF61FCF9F47A}"/>
                </a:ext>
              </a:extLst>
            </xdr:cNvPr>
            <xdr:cNvSpPr txBox="1"/>
          </xdr:nvSpPr>
          <xdr:spPr>
            <a:xfrm>
              <a:off x="21193082" y="17620660"/>
              <a:ext cx="36612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𝐗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𝐡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𝐧𝐬𝐭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241" name="CasellaDiTesto 60">
              <a:extLst>
                <a:ext uri="{FF2B5EF4-FFF2-40B4-BE49-F238E27FC236}">
                  <a16:creationId xmlns:a16="http://schemas.microsoft.com/office/drawing/2014/main" id="{F941D536-E676-41B0-869E-DF61FCF9F47A}"/>
                </a:ext>
              </a:extLst>
            </xdr:cNvPr>
            <xdr:cNvSpPr txBox="1"/>
          </xdr:nvSpPr>
          <xdr:spPr>
            <a:xfrm>
              <a:off x="21193082" y="17620660"/>
              <a:ext cx="36612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𝐗_(𝐡,𝐧𝐬𝐭)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45</xdr:col>
      <xdr:colOff>44450</xdr:colOff>
      <xdr:row>248</xdr:row>
      <xdr:rowOff>152400</xdr:rowOff>
    </xdr:from>
    <xdr:ext cx="4780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41021A48-2379-4107-BC6E-8BF8C87067E2}"/>
                </a:ext>
              </a:extLst>
            </xdr:cNvPr>
            <xdr:cNvSpPr txBox="1"/>
          </xdr:nvSpPr>
          <xdr:spPr>
            <a:xfrm>
              <a:off x="21228050" y="37509450"/>
              <a:ext cx="4780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𝐒𝐎</m:t>
                    </m:r>
                    <m:sSub>
                      <m:sSubPr>
                        <m:ctrlPr>
                          <a:rPr lang="it-IT" sz="1100" b="1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𝐂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𝐞𝐧𝐝</m:t>
                        </m:r>
                      </m:sub>
                    </m:sSub>
                  </m:oMath>
                </m:oMathPara>
              </a14:m>
              <a:endParaRPr lang="en-US" sz="1100" b="1" i="0" kern="1200">
                <a:solidFill>
                  <a:schemeClr val="tx1"/>
                </a:solidFill>
              </a:endParaRPr>
            </a:p>
          </xdr:txBody>
        </xdr:sp>
      </mc:Choice>
      <mc:Fallback xmlns="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41021A48-2379-4107-BC6E-8BF8C87067E2}"/>
                </a:ext>
              </a:extLst>
            </xdr:cNvPr>
            <xdr:cNvSpPr txBox="1"/>
          </xdr:nvSpPr>
          <xdr:spPr>
            <a:xfrm>
              <a:off x="21228050" y="37509450"/>
              <a:ext cx="4780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chemeClr val="tx1"/>
                  </a:solidFill>
                  <a:latin typeface="Cambria Math" panose="02040503050406030204" pitchFamily="18" charset="0"/>
                </a:rPr>
                <a:t>𝐒𝐎𝐂_𝐞𝐧𝐝</a:t>
              </a:r>
              <a:endParaRPr lang="en-US" sz="1100" b="1" i="0" kern="1200">
                <a:solidFill>
                  <a:schemeClr val="tx1"/>
                </a:solidFill>
              </a:endParaRPr>
            </a:p>
          </xdr:txBody>
        </xdr:sp>
      </mc:Fallback>
    </mc:AlternateContent>
    <xdr:clientData/>
  </xdr:oneCellAnchor>
  <xdr:oneCellAnchor>
    <xdr:from>
      <xdr:col>39</xdr:col>
      <xdr:colOff>238125</xdr:colOff>
      <xdr:row>108</xdr:row>
      <xdr:rowOff>57150</xdr:rowOff>
    </xdr:from>
    <xdr:ext cx="366126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3" name="CasellaDiTesto 60">
              <a:extLst>
                <a:ext uri="{FF2B5EF4-FFF2-40B4-BE49-F238E27FC236}">
                  <a16:creationId xmlns:a16="http://schemas.microsoft.com/office/drawing/2014/main" id="{2C0A728B-785A-4E37-A548-3E3C7F508482}"/>
                </a:ext>
              </a:extLst>
            </xdr:cNvPr>
            <xdr:cNvSpPr txBox="1"/>
          </xdr:nvSpPr>
          <xdr:spPr>
            <a:xfrm>
              <a:off x="18964275" y="17621250"/>
              <a:ext cx="36612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𝐗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𝐡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𝐧𝐬𝐭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243" name="CasellaDiTesto 60">
              <a:extLst>
                <a:ext uri="{FF2B5EF4-FFF2-40B4-BE49-F238E27FC236}">
                  <a16:creationId xmlns:a16="http://schemas.microsoft.com/office/drawing/2014/main" id="{2C0A728B-785A-4E37-A548-3E3C7F508482}"/>
                </a:ext>
              </a:extLst>
            </xdr:cNvPr>
            <xdr:cNvSpPr txBox="1"/>
          </xdr:nvSpPr>
          <xdr:spPr>
            <a:xfrm>
              <a:off x="18964275" y="17621250"/>
              <a:ext cx="36612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𝐗_(𝐡,𝐧𝐬𝐭)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twoCellAnchor>
    <xdr:from>
      <xdr:col>54</xdr:col>
      <xdr:colOff>118634</xdr:colOff>
      <xdr:row>198</xdr:row>
      <xdr:rowOff>10635</xdr:rowOff>
    </xdr:from>
    <xdr:to>
      <xdr:col>64</xdr:col>
      <xdr:colOff>260494</xdr:colOff>
      <xdr:row>201</xdr:row>
      <xdr:rowOff>46627</xdr:rowOff>
    </xdr:to>
    <xdr:grpSp>
      <xdr:nvGrpSpPr>
        <xdr:cNvPr id="256" name="Group 255">
          <a:extLst>
            <a:ext uri="{FF2B5EF4-FFF2-40B4-BE49-F238E27FC236}">
              <a16:creationId xmlns:a16="http://schemas.microsoft.com/office/drawing/2014/main" id="{5E014179-2E2E-3018-037A-A7BBD04B2428}"/>
            </a:ext>
          </a:extLst>
        </xdr:cNvPr>
        <xdr:cNvGrpSpPr/>
      </xdr:nvGrpSpPr>
      <xdr:grpSpPr>
        <a:xfrm>
          <a:off x="23448534" y="33278285"/>
          <a:ext cx="4205860" cy="569392"/>
          <a:chOff x="24983624" y="31675399"/>
          <a:chExt cx="4244937" cy="522744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44" name="TextBox 243">
                <a:extLst>
                  <a:ext uri="{FF2B5EF4-FFF2-40B4-BE49-F238E27FC236}">
                    <a16:creationId xmlns:a16="http://schemas.microsoft.com/office/drawing/2014/main" id="{FC5C6CFB-0344-4D24-8EDF-6CC488DEFFF5}"/>
                  </a:ext>
                </a:extLst>
              </xdr:cNvPr>
              <xdr:cNvSpPr txBox="1"/>
            </xdr:nvSpPr>
            <xdr:spPr>
              <a:xfrm>
                <a:off x="24986799" y="31675399"/>
                <a:ext cx="4241762" cy="20576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1" kern="120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0: </m:t>
                      </m:r>
                      <m:r>
                        <a:rPr lang="it-IT" sz="1100" b="1" i="0" kern="1200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𝐒𝐎</m:t>
                      </m:r>
                      <m:sSub>
                        <m:sSubPr>
                          <m:ctrlPr>
                            <a:rPr lang="it-IT" sz="1100" b="1" i="1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𝐬𝐭</m:t>
                          </m:r>
                        </m:sub>
                      </m:sSub>
                      <m:r>
                        <a:rPr lang="it-IT" sz="1100" b="1" i="0" kern="120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it-IT" sz="1100" b="1" i="0" kern="120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𝐬𝐨</m:t>
                      </m:r>
                      <m:sSub>
                        <m:sSubPr>
                          <m:ctrlPr>
                            <a:rPr lang="it-IT" sz="1100" b="1" i="1" kern="1200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it-IT" sz="1100" b="1" i="0" kern="1200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  <m:t>𝐜</m:t>
                          </m:r>
                        </m:e>
                        <m:sub>
                          <m:r>
                            <a:rPr lang="it-IT" sz="1100" b="1" i="0" kern="1200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  <m:t>𝐢</m:t>
                          </m:r>
                          <m:sSub>
                            <m:sSubPr>
                              <m:ctrlPr>
                                <a:rPr lang="it-IT" sz="1100" b="1" i="1" kern="1200">
                                  <a:solidFill>
                                    <a:sysClr val="windowText" lastClr="000000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it-IT" sz="1100" b="1" i="0" kern="1200">
                                  <a:solidFill>
                                    <a:sysClr val="windowText" lastClr="000000"/>
                                  </a:solidFill>
                                  <a:latin typeface="Cambria Math" panose="02040503050406030204" pitchFamily="18" charset="0"/>
                                </a:rPr>
                                <m:t>𝐧</m:t>
                              </m:r>
                            </m:e>
                            <m:sub>
                              <m:r>
                                <a:rPr lang="it-IT" sz="1100" b="1" i="0" kern="1200">
                                  <a:solidFill>
                                    <a:sysClr val="windowText" lastClr="000000"/>
                                  </a:solidFill>
                                  <a:latin typeface="Cambria Math" panose="02040503050406030204" pitchFamily="18" charset="0"/>
                                </a:rPr>
                                <m:t>𝐬𝐭</m:t>
                              </m:r>
                            </m:sub>
                          </m:sSub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⋅</m:t>
                      </m:r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𝐂𝐚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𝐨𝐩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𝐬𝐭</m:t>
                          </m:r>
                        </m:sub>
                      </m:sSub>
                      <m:r>
                        <a:rPr lang="it-IT" sz="1100" b="1" i="0" kern="120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+</m:t>
                      </m:r>
                      <m:sSub>
                        <m:sSubPr>
                          <m:ctrlPr>
                            <a:rPr lang="it-IT" sz="1100" b="1" i="1" kern="1200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it-IT" sz="1100" b="1" i="0" kern="1200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  <m:t>𝐓</m:t>
                          </m:r>
                        </m:e>
                        <m:sub>
                          <m:r>
                            <a:rPr lang="it-IT" sz="1100" b="1" i="0" kern="1200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  <m:t>𝐡𝐡</m:t>
                          </m:r>
                        </m:sub>
                      </m:sSub>
                      <m:r>
                        <a:rPr lang="it-IT" sz="1100" b="1" i="0" kern="120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(−</m:t>
                      </m:r>
                      <m:sSub>
                        <m:sSubPr>
                          <m:ctrlPr>
                            <a:rPr lang="it-IT" sz="1100" b="1" i="1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𝐡</m:t>
                          </m:r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,</m:t>
                          </m:r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𝐬𝐭</m:t>
                          </m:r>
                        </m:sub>
                      </m:sSub>
                      <m:r>
                        <a:rPr lang="it-IT" sz="1100" b="1" i="0" kern="120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)</m:t>
                      </m:r>
                    </m:oMath>
                  </m:oMathPara>
                </a14:m>
                <a:endParaRPr lang="en-US" sz="1100" b="1" i="0" kern="1200"/>
              </a:p>
            </xdr:txBody>
          </xdr:sp>
        </mc:Choice>
        <mc:Fallback xmlns="">
          <xdr:sp macro="" textlink="">
            <xdr:nvSpPr>
              <xdr:cNvPr id="244" name="TextBox 243">
                <a:extLst>
                  <a:ext uri="{FF2B5EF4-FFF2-40B4-BE49-F238E27FC236}">
                    <a16:creationId xmlns:a16="http://schemas.microsoft.com/office/drawing/2014/main" id="{FC5C6CFB-0344-4D24-8EDF-6CC488DEFFF5}"/>
                  </a:ext>
                </a:extLst>
              </xdr:cNvPr>
              <xdr:cNvSpPr txBox="1"/>
            </xdr:nvSpPr>
            <xdr:spPr>
              <a:xfrm>
                <a:off x="24986799" y="31675399"/>
                <a:ext cx="4241762" cy="20576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 kern="12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0: </a:t>
                </a:r>
                <a:r>
                  <a:rPr lang="it-IT" sz="1100" b="1" i="0" kern="120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𝐒𝐎𝐂_𝐬𝐭</a:t>
                </a:r>
                <a:r>
                  <a:rPr lang="it-IT" sz="1100" b="1" i="0" kern="12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=𝐬𝐨𝐜_(𝐢𝐧_𝐬𝐭 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⋅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𝐂𝐚𝐩_(𝐨𝐩,𝐡,𝐬𝐭)</a:t>
                </a:r>
                <a:r>
                  <a:rPr lang="it-IT" sz="1100" b="1" i="0" kern="12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+𝐓_𝐡𝐡 (−</a:t>
                </a:r>
                <a:r>
                  <a:rPr lang="it-IT" sz="1100" b="1" i="0" kern="120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𝐗_(𝐡,𝐬𝐭)</a:t>
                </a:r>
                <a:r>
                  <a:rPr lang="it-IT" sz="1100" b="1" i="0" kern="12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)</a:t>
                </a:r>
                <a:endParaRPr lang="en-US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45" name="TextBox 244">
                <a:extLst>
                  <a:ext uri="{FF2B5EF4-FFF2-40B4-BE49-F238E27FC236}">
                    <a16:creationId xmlns:a16="http://schemas.microsoft.com/office/drawing/2014/main" id="{C9698E31-EF10-4A50-9E40-B5A19CA11647}"/>
                  </a:ext>
                </a:extLst>
              </xdr:cNvPr>
              <xdr:cNvSpPr txBox="1"/>
            </xdr:nvSpPr>
            <xdr:spPr>
              <a:xfrm>
                <a:off x="24983624" y="31997326"/>
                <a:ext cx="4244937" cy="20081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1" kern="120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0:</m:t>
                      </m:r>
                      <m:r>
                        <a:rPr lang="it-IT" sz="1100" b="1" i="0" kern="120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it-IT" sz="1100" b="1" i="0" kern="1200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𝐒𝐎</m:t>
                      </m:r>
                      <m:sSub>
                        <m:sSubPr>
                          <m:ctrlPr>
                            <a:rPr lang="it-IT" sz="1100" b="1" i="1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𝐬𝐭</m:t>
                          </m:r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,</m:t>
                          </m:r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𝐩</m:t>
                          </m:r>
                        </m:sub>
                      </m:sSub>
                      <m:r>
                        <a:rPr lang="it-IT" sz="1100" b="1" i="0" kern="120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it-IT" sz="1100" b="1" i="0" kern="120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𝐬𝐨</m:t>
                      </m:r>
                      <m:sSub>
                        <m:sSubPr>
                          <m:ctrlPr>
                            <a:rPr lang="it-IT" sz="1100" b="1" i="1" kern="1200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it-IT" sz="1100" b="1" i="0" kern="1200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  <m:t>𝐜</m:t>
                          </m:r>
                        </m:e>
                        <m:sub>
                          <m:r>
                            <a:rPr lang="it-IT" sz="1100" b="1" i="0" kern="1200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  <m:t>𝐢</m:t>
                          </m:r>
                          <m:sSub>
                            <m:sSubPr>
                              <m:ctrlPr>
                                <a:rPr lang="it-IT" sz="1100" b="1" i="1" kern="1200">
                                  <a:solidFill>
                                    <a:sysClr val="windowText" lastClr="000000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it-IT" sz="1100" b="1" i="0" kern="1200">
                                  <a:solidFill>
                                    <a:sysClr val="windowText" lastClr="000000"/>
                                  </a:solidFill>
                                  <a:latin typeface="Cambria Math" panose="02040503050406030204" pitchFamily="18" charset="0"/>
                                </a:rPr>
                                <m:t>𝐧</m:t>
                              </m:r>
                            </m:e>
                            <m:sub>
                              <m:r>
                                <a:rPr lang="it-IT" sz="1100" b="1" i="0" kern="1200">
                                  <a:solidFill>
                                    <a:sysClr val="windowText" lastClr="000000"/>
                                  </a:solidFill>
                                  <a:latin typeface="Cambria Math" panose="02040503050406030204" pitchFamily="18" charset="0"/>
                                </a:rPr>
                                <m:t>𝐬𝐭</m:t>
                              </m:r>
                              <m:r>
                                <a:rPr lang="it-IT" sz="1100" b="1" i="0" kern="1200">
                                  <a:solidFill>
                                    <a:sysClr val="windowText" lastClr="000000"/>
                                  </a:solidFill>
                                  <a:latin typeface="Cambria Math" panose="02040503050406030204" pitchFamily="18" charset="0"/>
                                </a:rPr>
                                <m:t>,</m:t>
                              </m:r>
                              <m:r>
                                <a:rPr lang="it-IT" sz="1100" b="1" i="0" kern="1200">
                                  <a:solidFill>
                                    <a:sysClr val="windowText" lastClr="000000"/>
                                  </a:solidFill>
                                  <a:latin typeface="Cambria Math" panose="02040503050406030204" pitchFamily="18" charset="0"/>
                                </a:rPr>
                                <m:t>𝐩</m:t>
                              </m:r>
                            </m:sub>
                          </m:sSub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⋅</m:t>
                      </m:r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𝐂𝐚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𝐨𝐩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.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.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𝐬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𝐭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𝐩</m:t>
                              </m:r>
                            </m:sub>
                          </m:sSub>
                        </m:sub>
                      </m:sSub>
                      <m:r>
                        <a:rPr lang="it-IT" sz="1100" b="1" i="0" kern="120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+</m:t>
                      </m:r>
                      <m:sSub>
                        <m:sSubPr>
                          <m:ctrlPr>
                            <a:rPr lang="it-IT" sz="1100" b="1" i="1" kern="1200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it-IT" sz="1100" b="1" i="0" kern="1200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  <m:t>𝐓</m:t>
                          </m:r>
                        </m:e>
                        <m:sub>
                          <m:r>
                            <a:rPr lang="it-IT" sz="1100" b="1" i="0" kern="1200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  <m:t>𝐡𝐡</m:t>
                          </m:r>
                        </m:sub>
                      </m:sSub>
                      <m:r>
                        <a:rPr lang="it-IT" sz="1100" b="1" i="0" kern="120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(−</m:t>
                      </m:r>
                      <m:sSub>
                        <m:sSubPr>
                          <m:ctrlPr>
                            <a:rPr lang="it-IT" sz="1100" b="1" i="1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𝐡</m:t>
                          </m:r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,</m:t>
                          </m:r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𝐬𝐭</m:t>
                          </m:r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,</m:t>
                          </m:r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𝐩</m:t>
                          </m:r>
                        </m:sub>
                      </m:sSub>
                      <m:r>
                        <a:rPr lang="it-IT" sz="1100" b="1" i="0" kern="120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−</m:t>
                      </m:r>
                      <m:sSub>
                        <m:sSubPr>
                          <m:ctrlPr>
                            <a:rPr lang="it-IT" sz="1100" b="1" i="1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𝐡</m:t>
                          </m:r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,</m:t>
                          </m:r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𝐛𝐞𝐯</m:t>
                          </m:r>
                        </m:sub>
                      </m:sSub>
                      <m:r>
                        <a:rPr lang="it-IT" sz="1100" b="1" i="0" kern="120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)</m:t>
                      </m:r>
                    </m:oMath>
                  </m:oMathPara>
                </a14:m>
                <a:endParaRPr lang="en-US" sz="1100" b="1" i="0" kern="1200"/>
              </a:p>
            </xdr:txBody>
          </xdr:sp>
        </mc:Choice>
        <mc:Fallback xmlns="">
          <xdr:sp macro="" textlink="">
            <xdr:nvSpPr>
              <xdr:cNvPr id="245" name="TextBox 244">
                <a:extLst>
                  <a:ext uri="{FF2B5EF4-FFF2-40B4-BE49-F238E27FC236}">
                    <a16:creationId xmlns:a16="http://schemas.microsoft.com/office/drawing/2014/main" id="{C9698E31-EF10-4A50-9E40-B5A19CA11647}"/>
                  </a:ext>
                </a:extLst>
              </xdr:cNvPr>
              <xdr:cNvSpPr txBox="1"/>
            </xdr:nvSpPr>
            <xdr:spPr>
              <a:xfrm>
                <a:off x="24983624" y="31997326"/>
                <a:ext cx="4244937" cy="20081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 kern="12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0:</a:t>
                </a:r>
                <a:r>
                  <a:rPr lang="it-IT" sz="1100" b="1" i="0" kern="12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 </a:t>
                </a:r>
                <a:r>
                  <a:rPr lang="it-IT" sz="1100" b="1" i="0" kern="120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𝐒𝐎𝐂_(𝐬𝐭,𝐩)</a:t>
                </a:r>
                <a:r>
                  <a:rPr lang="it-IT" sz="1100" b="1" i="0" kern="12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=𝐬𝐨𝐜_(𝐢𝐧_(𝐬𝐭,𝐩) 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⋅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𝐂𝐚𝐩_(𝐨𝐩.𝐡.𝐬𝐭_𝐩 )</a:t>
                </a:r>
                <a:r>
                  <a:rPr lang="it-IT" sz="1100" b="1" i="0" kern="12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+𝐓_𝐡𝐡 (−</a:t>
                </a:r>
                <a:r>
                  <a:rPr lang="it-IT" sz="1100" b="1" i="0" kern="120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𝐗_(𝐡,𝐬𝐭,𝐩)</a:t>
                </a:r>
                <a:r>
                  <a:rPr lang="it-IT" sz="1100" b="1" i="0" kern="12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−</a:t>
                </a:r>
                <a:r>
                  <a:rPr lang="it-IT" sz="1100" b="1" i="0" kern="120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𝐗_(𝐡,𝐛𝐞𝐯)</a:t>
                </a:r>
                <a:r>
                  <a:rPr lang="it-IT" sz="1100" b="1" i="0" kern="12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)</a:t>
                </a:r>
                <a:endParaRPr lang="en-US" sz="1100" b="1" i="0" kern="1200"/>
              </a:p>
            </xdr:txBody>
          </xdr:sp>
        </mc:Fallback>
      </mc:AlternateContent>
    </xdr:grpSp>
    <xdr:clientData/>
  </xdr:twoCellAnchor>
  <xdr:twoCellAnchor>
    <xdr:from>
      <xdr:col>42</xdr:col>
      <xdr:colOff>400050</xdr:colOff>
      <xdr:row>200</xdr:row>
      <xdr:rowOff>25402</xdr:rowOff>
    </xdr:from>
    <xdr:to>
      <xdr:col>44</xdr:col>
      <xdr:colOff>400050</xdr:colOff>
      <xdr:row>200</xdr:row>
      <xdr:rowOff>161928</xdr:rowOff>
    </xdr:to>
    <xdr:sp macro="" textlink="">
      <xdr:nvSpPr>
        <xdr:cNvPr id="106" name="Right Brace 105">
          <a:extLst>
            <a:ext uri="{FF2B5EF4-FFF2-40B4-BE49-F238E27FC236}">
              <a16:creationId xmlns:a16="http://schemas.microsoft.com/office/drawing/2014/main" id="{ADC5DE38-32A3-4633-8A06-FC7C1E4BE27E}"/>
            </a:ext>
          </a:extLst>
        </xdr:cNvPr>
        <xdr:cNvSpPr/>
      </xdr:nvSpPr>
      <xdr:spPr>
        <a:xfrm rot="5400000">
          <a:off x="20696237" y="31678565"/>
          <a:ext cx="136526" cy="819150"/>
        </a:xfrm>
        <a:prstGeom prst="rightBrac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oneCellAnchor>
    <xdr:from>
      <xdr:col>42</xdr:col>
      <xdr:colOff>170546</xdr:colOff>
      <xdr:row>198</xdr:row>
      <xdr:rowOff>134242</xdr:rowOff>
    </xdr:from>
    <xdr:ext cx="623439" cy="1847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890C7380-8F2F-40FA-99FE-EB3D2714B63E}"/>
                </a:ext>
              </a:extLst>
            </xdr:cNvPr>
            <xdr:cNvSpPr txBox="1"/>
          </xdr:nvSpPr>
          <xdr:spPr>
            <a:xfrm>
              <a:off x="20125421" y="31785817"/>
              <a:ext cx="623439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𝐂𝐚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𝐩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𝐨𝐩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𝐡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𝐬𝐭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890C7380-8F2F-40FA-99FE-EB3D2714B63E}"/>
                </a:ext>
              </a:extLst>
            </xdr:cNvPr>
            <xdr:cNvSpPr txBox="1"/>
          </xdr:nvSpPr>
          <xdr:spPr>
            <a:xfrm>
              <a:off x="20125421" y="31785817"/>
              <a:ext cx="623439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𝐂𝐚𝐩_(𝐨𝐩,𝐡,𝐬𝐭 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44</xdr:col>
      <xdr:colOff>75296</xdr:colOff>
      <xdr:row>198</xdr:row>
      <xdr:rowOff>153292</xdr:rowOff>
    </xdr:from>
    <xdr:ext cx="683520" cy="201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363D792A-223F-4FC4-B885-0AAEDACCFC04}"/>
                </a:ext>
              </a:extLst>
            </xdr:cNvPr>
            <xdr:cNvSpPr txBox="1"/>
          </xdr:nvSpPr>
          <xdr:spPr>
            <a:xfrm>
              <a:off x="20849321" y="31804867"/>
              <a:ext cx="683520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𝐂𝐚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𝐩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𝐨𝐩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𝐡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𝐬</m:t>
                        </m:r>
                        <m:sSub>
                          <m:sSubPr>
                            <m:ctrlPr>
                              <a:rPr lang="it-IT" sz="1100" b="1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𝐭</m:t>
                            </m:r>
                          </m:e>
                          <m:sub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𝐩</m:t>
                            </m:r>
                          </m:sub>
                        </m:s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363D792A-223F-4FC4-B885-0AAEDACCFC04}"/>
                </a:ext>
              </a:extLst>
            </xdr:cNvPr>
            <xdr:cNvSpPr txBox="1"/>
          </xdr:nvSpPr>
          <xdr:spPr>
            <a:xfrm>
              <a:off x="20849321" y="31804867"/>
              <a:ext cx="683520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𝐂𝐚𝐩_(𝐨𝐩,𝐡,𝐬𝐭_𝐩  )</a:t>
              </a:r>
              <a:endParaRPr lang="en-US" sz="1100" b="1" i="0" kern="1200"/>
            </a:p>
          </xdr:txBody>
        </xdr:sp>
      </mc:Fallback>
    </mc:AlternateContent>
    <xdr:clientData/>
  </xdr:oneCellAnchor>
  <xdr:twoCellAnchor>
    <xdr:from>
      <xdr:col>54</xdr:col>
      <xdr:colOff>1543</xdr:colOff>
      <xdr:row>205</xdr:row>
      <xdr:rowOff>433</xdr:rowOff>
    </xdr:from>
    <xdr:to>
      <xdr:col>64</xdr:col>
      <xdr:colOff>278566</xdr:colOff>
      <xdr:row>220</xdr:row>
      <xdr:rowOff>124294</xdr:rowOff>
    </xdr:to>
    <xdr:grpSp>
      <xdr:nvGrpSpPr>
        <xdr:cNvPr id="257" name="Group 256">
          <a:extLst>
            <a:ext uri="{FF2B5EF4-FFF2-40B4-BE49-F238E27FC236}">
              <a16:creationId xmlns:a16="http://schemas.microsoft.com/office/drawing/2014/main" id="{D7BF548C-6E2E-C6C0-BD03-420BDDA6C41A}"/>
            </a:ext>
          </a:extLst>
        </xdr:cNvPr>
        <xdr:cNvGrpSpPr/>
      </xdr:nvGrpSpPr>
      <xdr:grpSpPr>
        <a:xfrm>
          <a:off x="23331443" y="34461883"/>
          <a:ext cx="4341023" cy="2600361"/>
          <a:chOff x="24867033" y="33014456"/>
          <a:chExt cx="4393302" cy="1530708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47" name="TextBox 246">
                <a:extLst>
                  <a:ext uri="{FF2B5EF4-FFF2-40B4-BE49-F238E27FC236}">
                    <a16:creationId xmlns:a16="http://schemas.microsoft.com/office/drawing/2014/main" id="{E7BB756E-7DAB-4F48-B7D2-2143CED8A45A}"/>
                  </a:ext>
                </a:extLst>
              </xdr:cNvPr>
              <xdr:cNvSpPr txBox="1"/>
            </xdr:nvSpPr>
            <xdr:spPr>
              <a:xfrm>
                <a:off x="24984021" y="33014456"/>
                <a:ext cx="4244937" cy="23786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1" kern="120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0:</m:t>
                      </m:r>
                      <m:r>
                        <a:rPr lang="it-IT" sz="1100" b="1" i="0" kern="120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it-IT" sz="1100" b="1" i="0" kern="1200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𝐒𝐎𝐂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≤</m:t>
                      </m:r>
                      <m:r>
                        <a:rPr lang="it-IT" sz="1100" b="1" i="0" kern="1200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𝐂𝐚</m:t>
                      </m:r>
                      <m:sSub>
                        <m:sSubPr>
                          <m:ctrlPr>
                            <a:rPr lang="it-IT" sz="1100" b="1" i="1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𝐩</m:t>
                          </m:r>
                        </m:e>
                        <m:sub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𝐨𝐩</m:t>
                          </m:r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,</m:t>
                          </m:r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𝐡</m:t>
                          </m:r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,</m:t>
                          </m:r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𝐬𝐭</m:t>
                          </m:r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,</m:t>
                          </m:r>
                          <m:r>
                            <a:rPr lang="it-IT" sz="1100" b="1" i="0" kern="120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𝐚𝐥𝐥</m:t>
                          </m:r>
                        </m:sub>
                      </m:sSub>
                    </m:oMath>
                  </m:oMathPara>
                </a14:m>
                <a:endParaRPr lang="en-US" sz="1100" b="1" i="0" kern="1200"/>
              </a:p>
            </xdr:txBody>
          </xdr:sp>
        </mc:Choice>
        <mc:Fallback xmlns="">
          <xdr:sp macro="" textlink="">
            <xdr:nvSpPr>
              <xdr:cNvPr id="247" name="TextBox 246">
                <a:extLst>
                  <a:ext uri="{FF2B5EF4-FFF2-40B4-BE49-F238E27FC236}">
                    <a16:creationId xmlns:a16="http://schemas.microsoft.com/office/drawing/2014/main" id="{E7BB756E-7DAB-4F48-B7D2-2143CED8A45A}"/>
                  </a:ext>
                </a:extLst>
              </xdr:cNvPr>
              <xdr:cNvSpPr txBox="1"/>
            </xdr:nvSpPr>
            <xdr:spPr>
              <a:xfrm>
                <a:off x="24984021" y="33014456"/>
                <a:ext cx="4244937" cy="23786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 kern="12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0:</a:t>
                </a:r>
                <a:r>
                  <a:rPr lang="it-IT" sz="1100" b="1" i="0" kern="12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 </a:t>
                </a:r>
                <a:r>
                  <a:rPr lang="it-IT" sz="1100" b="1" i="0" kern="120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𝐒𝐎𝐂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≤</a:t>
                </a:r>
                <a:r>
                  <a:rPr lang="it-IT" sz="1100" b="1" i="0" kern="120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𝐂𝐚𝐩_(𝐨𝐩,𝐡,𝐬𝐭,𝐚𝐥𝐥)</a:t>
                </a:r>
                <a:endParaRPr lang="en-US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48" name="TextBox 247">
                <a:extLst>
                  <a:ext uri="{FF2B5EF4-FFF2-40B4-BE49-F238E27FC236}">
                    <a16:creationId xmlns:a16="http://schemas.microsoft.com/office/drawing/2014/main" id="{7B6507A9-6A6C-422F-B15D-BCD2C5193440}"/>
                  </a:ext>
                </a:extLst>
              </xdr:cNvPr>
              <xdr:cNvSpPr txBox="1"/>
            </xdr:nvSpPr>
            <xdr:spPr>
              <a:xfrm>
                <a:off x="24986781" y="33248929"/>
                <a:ext cx="4244937" cy="20622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1" kern="120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0:</m:t>
                      </m:r>
                      <m:r>
                        <a:rPr lang="it-IT" sz="1100" b="1" i="0" kern="120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it-IT" sz="1100" b="1" i="0" kern="1200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𝐒𝐎𝐂</m:t>
                      </m:r>
                      <m:r>
                        <a:rPr lang="it-IT" sz="1100" b="1" i="0" kern="120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≥</m:t>
                      </m:r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𝐂𝐚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𝐨𝐩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𝐬𝐭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𝐚𝐥𝐥</m:t>
                          </m:r>
                        </m:sub>
                      </m:sSub>
                      <m: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∙</m:t>
                      </m:r>
                      <m:r>
                        <a:rPr lang="it-IT" sz="1100" b="1" i="0" kern="120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𝐬𝐨</m:t>
                      </m:r>
                      <m:sSub>
                        <m:sSubPr>
                          <m:ctrlPr>
                            <a:rPr lang="it-IT" sz="1100" b="1" i="1" kern="1200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it-IT" sz="1100" b="1" i="0" kern="1200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  <m:t>𝐜</m:t>
                          </m:r>
                        </m:e>
                        <m:sub>
                          <m:r>
                            <a:rPr lang="it-IT" sz="1100" b="1" i="0" kern="1200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  <m:t>𝐦𝐢𝐧</m:t>
                          </m:r>
                        </m:sub>
                      </m:sSub>
                    </m:oMath>
                  </m:oMathPara>
                </a14:m>
                <a:endParaRPr lang="en-US" sz="1100" b="1" i="0" kern="1200"/>
              </a:p>
            </xdr:txBody>
          </xdr:sp>
        </mc:Choice>
        <mc:Fallback xmlns="">
          <xdr:sp macro="" textlink="">
            <xdr:nvSpPr>
              <xdr:cNvPr id="248" name="TextBox 247">
                <a:extLst>
                  <a:ext uri="{FF2B5EF4-FFF2-40B4-BE49-F238E27FC236}">
                    <a16:creationId xmlns:a16="http://schemas.microsoft.com/office/drawing/2014/main" id="{7B6507A9-6A6C-422F-B15D-BCD2C5193440}"/>
                  </a:ext>
                </a:extLst>
              </xdr:cNvPr>
              <xdr:cNvSpPr txBox="1"/>
            </xdr:nvSpPr>
            <xdr:spPr>
              <a:xfrm>
                <a:off x="24986781" y="33248929"/>
                <a:ext cx="4244937" cy="20622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 kern="12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0:</a:t>
                </a:r>
                <a:r>
                  <a:rPr lang="it-IT" sz="1100" b="1" i="0" kern="12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 </a:t>
                </a:r>
                <a:r>
                  <a:rPr lang="it-IT" sz="1100" b="1" i="0" kern="120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𝐒𝐎𝐂</a:t>
                </a:r>
                <a:r>
                  <a:rPr lang="it-IT" sz="1100" b="1" i="0" kern="12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≥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𝐂𝐚𝐩_(𝐨𝐩,𝐡,𝐬𝐭,𝐚𝐥𝐥)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∙</a:t>
                </a:r>
                <a:r>
                  <a:rPr lang="it-IT" sz="1100" b="1" i="0" kern="12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𝐬𝐨𝐜_𝐦𝐢𝐧</a:t>
                </a:r>
                <a:endParaRPr lang="en-US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49" name="TextBox 248">
                <a:extLst>
                  <a:ext uri="{FF2B5EF4-FFF2-40B4-BE49-F238E27FC236}">
                    <a16:creationId xmlns:a16="http://schemas.microsoft.com/office/drawing/2014/main" id="{18D5B927-9CFA-4E8D-BC7D-0D1DADACC893}"/>
                  </a:ext>
                </a:extLst>
              </xdr:cNvPr>
              <xdr:cNvSpPr txBox="1"/>
            </xdr:nvSpPr>
            <xdr:spPr>
              <a:xfrm>
                <a:off x="25005873" y="33459115"/>
                <a:ext cx="4254462" cy="19669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14:m>
                  <m:oMath xmlns:m="http://schemas.openxmlformats.org/officeDocument/2006/math">
                    <m:r>
                      <a:rPr lang="it-IT" sz="1100" b="0" i="1" kern="120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0:</m:t>
                    </m:r>
                    <m:r>
                      <a:rPr lang="it-IT" sz="1100" b="1" i="0" kern="120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it-IT" sz="1100" b="1" i="0" kern="120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𝐒𝐎</m:t>
                    </m:r>
                    <m:sSub>
                      <m:sSubPr>
                        <m:ctrlPr>
                          <a:rPr lang="it-IT" sz="1100" b="1" i="1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𝐂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𝐞𝐧𝐝</m:t>
                        </m:r>
                      </m:sub>
                    </m:sSub>
                    <m:r>
                      <a:rPr lang="it-IT" sz="1100" b="1" i="0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it-IT" sz="1100" b="1" i="0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𝐬𝐨</m:t>
                    </m:r>
                    <m:sSub>
                      <m:sSubPr>
                        <m:ctrlPr>
                          <a:rPr lang="it-IT" sz="1100" b="1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𝐞𝐧𝐝</m:t>
                        </m:r>
                      </m:sub>
                    </m:sSub>
                    <m:r>
                      <a:rPr lang="it-IT" sz="11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>
                      <a:rPr lang="it-IT" sz="1100" b="1" i="0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𝐂𝐚</m:t>
                    </m:r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𝐩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𝐨𝐩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.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𝐡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.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𝐬𝐭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𝐚𝐥𝐥</m:t>
                        </m:r>
                      </m:sub>
                    </m:sSub>
                  </m:oMath>
                </a14:m>
                <a:r>
                  <a:rPr lang="en-US" sz="1100" b="1" i="0" kern="1200">
                    <a:solidFill>
                      <a:schemeClr val="tx1"/>
                    </a:solidFill>
                  </a:rPr>
                  <a:t> </a:t>
                </a:r>
                <a:endParaRPr lang="en-US" sz="1100" b="1" i="0" kern="1200"/>
              </a:p>
            </xdr:txBody>
          </xdr:sp>
        </mc:Choice>
        <mc:Fallback xmlns="">
          <xdr:sp macro="" textlink="">
            <xdr:nvSpPr>
              <xdr:cNvPr id="249" name="TextBox 248">
                <a:extLst>
                  <a:ext uri="{FF2B5EF4-FFF2-40B4-BE49-F238E27FC236}">
                    <a16:creationId xmlns:a16="http://schemas.microsoft.com/office/drawing/2014/main" id="{18D5B927-9CFA-4E8D-BC7D-0D1DADACC893}"/>
                  </a:ext>
                </a:extLst>
              </xdr:cNvPr>
              <xdr:cNvSpPr txBox="1"/>
            </xdr:nvSpPr>
            <xdr:spPr>
              <a:xfrm>
                <a:off x="25005873" y="33459115"/>
                <a:ext cx="4254462" cy="19669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r>
                  <a:rPr lang="it-IT" sz="1100" b="0" i="0" kern="12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0:</a:t>
                </a:r>
                <a:r>
                  <a:rPr lang="it-IT" sz="1100" b="1" i="0" kern="12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 </a:t>
                </a:r>
                <a:r>
                  <a:rPr lang="it-IT" sz="1100" b="1" i="0" kern="120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𝐒𝐎𝐂_𝐞𝐧𝐝</a:t>
                </a:r>
                <a:r>
                  <a:rPr lang="it-IT" sz="1100" b="1" i="0" kern="1200">
                    <a:solidFill>
                      <a:schemeClr val="tx1"/>
                    </a:solidFill>
                    <a:latin typeface="Cambria Math" panose="02040503050406030204" pitchFamily="18" charset="0"/>
                  </a:rPr>
                  <a:t>=𝐬𝐨𝐜_𝐞𝐧𝐝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⋅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𝐂𝐚𝐩_(𝐨𝐩.𝐡.𝐬𝐭,𝐚𝐥𝐥)</a:t>
                </a:r>
                <a:r>
                  <a:rPr lang="en-US" sz="1100" b="1" i="0" kern="1200">
                    <a:solidFill>
                      <a:schemeClr val="tx1"/>
                    </a:solidFill>
                  </a:rPr>
                  <a:t> </a:t>
                </a:r>
                <a:endParaRPr lang="en-US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52" name="TextBox 251">
                <a:extLst>
                  <a:ext uri="{FF2B5EF4-FFF2-40B4-BE49-F238E27FC236}">
                    <a16:creationId xmlns:a16="http://schemas.microsoft.com/office/drawing/2014/main" id="{B8012065-28A6-49BC-B543-6B88EBD685F4}"/>
                  </a:ext>
                </a:extLst>
              </xdr:cNvPr>
              <xdr:cNvSpPr txBox="1"/>
            </xdr:nvSpPr>
            <xdr:spPr>
              <a:xfrm>
                <a:off x="24867033" y="34354585"/>
                <a:ext cx="1118222" cy="19057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: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  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𝐬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𝐭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𝐩</m:t>
                              </m:r>
                            </m:sub>
                          </m:s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 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≤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252" name="TextBox 251">
                <a:extLst>
                  <a:ext uri="{FF2B5EF4-FFF2-40B4-BE49-F238E27FC236}">
                    <a16:creationId xmlns:a16="http://schemas.microsoft.com/office/drawing/2014/main" id="{B8012065-28A6-49BC-B543-6B88EBD685F4}"/>
                  </a:ext>
                </a:extLst>
              </xdr:cNvPr>
              <xdr:cNvSpPr txBox="1"/>
            </xdr:nvSpPr>
            <xdr:spPr>
              <a:xfrm>
                <a:off x="24867033" y="34354585"/>
                <a:ext cx="1118222" cy="19057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: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𝐗_(𝐡,  𝐬𝐭_𝐩   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≤𝟎 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65" name="TextBox 164">
                <a:extLst>
                  <a:ext uri="{FF2B5EF4-FFF2-40B4-BE49-F238E27FC236}">
                    <a16:creationId xmlns:a16="http://schemas.microsoft.com/office/drawing/2014/main" id="{FC224CB0-B892-4617-9D8D-F3DE6891789E}"/>
                  </a:ext>
                </a:extLst>
              </xdr:cNvPr>
              <xdr:cNvSpPr txBox="1"/>
            </xdr:nvSpPr>
            <xdr:spPr>
              <a:xfrm>
                <a:off x="24975898" y="33676418"/>
                <a:ext cx="2155855" cy="23467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: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  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𝐬𝐭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≤(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𝐦𝐚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𝐱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𝐝𝐢𝐬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𝐬𝐭</m:t>
                          </m:r>
                        </m:sub>
                      </m:sSub>
                      <m: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∙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</m:t>
                          </m:r>
                        </m:sub>
                      </m:sSub>
                      <m: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𝐂𝐚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𝐨𝐩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𝐬𝐭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165" name="TextBox 164">
                <a:extLst>
                  <a:ext uri="{FF2B5EF4-FFF2-40B4-BE49-F238E27FC236}">
                    <a16:creationId xmlns:a16="http://schemas.microsoft.com/office/drawing/2014/main" id="{FC224CB0-B892-4617-9D8D-F3DE6891789E}"/>
                  </a:ext>
                </a:extLst>
              </xdr:cNvPr>
              <xdr:cNvSpPr txBox="1"/>
            </xdr:nvSpPr>
            <xdr:spPr>
              <a:xfrm>
                <a:off x="24975898" y="33676418"/>
                <a:ext cx="2155855" cy="23467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: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𝐗_(𝐡,  𝐬𝐭 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≤(𝐦𝐚𝐱_(𝐝𝐢𝐬,𝐬𝐭)∙𝐢_𝐡)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𝐂𝐚𝐩_(𝐨𝐩,𝐡,𝐬𝐭)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 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66" name="TextBox 165">
                <a:extLst>
                  <a:ext uri="{FF2B5EF4-FFF2-40B4-BE49-F238E27FC236}">
                    <a16:creationId xmlns:a16="http://schemas.microsoft.com/office/drawing/2014/main" id="{82A13AB1-71A7-44E1-8899-0600AF272EA2}"/>
                  </a:ext>
                </a:extLst>
              </xdr:cNvPr>
              <xdr:cNvSpPr txBox="1"/>
            </xdr:nvSpPr>
            <xdr:spPr>
              <a:xfrm>
                <a:off x="24997885" y="33901756"/>
                <a:ext cx="2162663" cy="22713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: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  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𝐬𝐭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≥−(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𝐦𝐚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𝐱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𝐜𝐡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𝐬𝐭</m:t>
                          </m:r>
                        </m:sub>
                      </m:sSub>
                      <m: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∙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</m:t>
                          </m:r>
                        </m:sub>
                      </m:sSub>
                      <m: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𝐂𝐚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𝐨𝐩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𝐬𝐭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166" name="TextBox 165">
                <a:extLst>
                  <a:ext uri="{FF2B5EF4-FFF2-40B4-BE49-F238E27FC236}">
                    <a16:creationId xmlns:a16="http://schemas.microsoft.com/office/drawing/2014/main" id="{82A13AB1-71A7-44E1-8899-0600AF272EA2}"/>
                  </a:ext>
                </a:extLst>
              </xdr:cNvPr>
              <xdr:cNvSpPr txBox="1"/>
            </xdr:nvSpPr>
            <xdr:spPr>
              <a:xfrm>
                <a:off x="24997885" y="33901756"/>
                <a:ext cx="2162663" cy="22713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: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𝐗_(𝐡,  𝐬𝐭 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≥−(𝐦𝐚𝐱_(𝐜𝐡,𝐬𝐭)∙𝐢_𝐡)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𝐂𝐚𝐩_(𝐨𝐩,𝐡,𝐬𝐭)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 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18" name="TextBox 217">
                <a:extLst>
                  <a:ext uri="{FF2B5EF4-FFF2-40B4-BE49-F238E27FC236}">
                    <a16:creationId xmlns:a16="http://schemas.microsoft.com/office/drawing/2014/main" id="{771E49FC-ABEE-4B1A-AD35-16E104B8865C}"/>
                  </a:ext>
                </a:extLst>
              </xdr:cNvPr>
              <xdr:cNvSpPr txBox="1"/>
            </xdr:nvSpPr>
            <xdr:spPr>
              <a:xfrm>
                <a:off x="24988525" y="34126694"/>
                <a:ext cx="2390805" cy="24301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: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  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𝐬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𝐭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𝐩</m:t>
                              </m:r>
                            </m:sub>
                          </m:s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≥−(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𝐦𝐚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𝐱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𝐜𝐡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𝐬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𝐭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𝐩</m:t>
                              </m:r>
                            </m:sub>
                          </m:sSub>
                        </m:sub>
                      </m:sSub>
                      <m: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∙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</m:t>
                          </m:r>
                        </m:sub>
                      </m:sSub>
                      <m: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𝐂𝐚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𝐩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𝐨𝐩</m:t>
                              </m:r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,</m:t>
                              </m:r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𝐡</m:t>
                              </m:r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,</m:t>
                              </m:r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𝐬𝐭</m:t>
                              </m:r>
                            </m:sub>
                          </m:sSub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sub>
                      </m:sSub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218" name="TextBox 217">
                <a:extLst>
                  <a:ext uri="{FF2B5EF4-FFF2-40B4-BE49-F238E27FC236}">
                    <a16:creationId xmlns:a16="http://schemas.microsoft.com/office/drawing/2014/main" id="{771E49FC-ABEE-4B1A-AD35-16E104B8865C}"/>
                  </a:ext>
                </a:extLst>
              </xdr:cNvPr>
              <xdr:cNvSpPr txBox="1"/>
            </xdr:nvSpPr>
            <xdr:spPr>
              <a:xfrm>
                <a:off x="24988525" y="34126694"/>
                <a:ext cx="2390805" cy="24301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: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𝐗_(𝐡,  𝐬𝐭_𝐩  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≥−(𝐦𝐚𝐱_(𝐜𝐡,𝐬𝐭_𝐩 )∙𝐢_𝐡)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𝐂𝐚〖𝐩_(𝐨𝐩,𝐡,𝐬𝐭)〗_𝐩  </a:t>
                </a:r>
                <a:endParaRPr lang="it-IT" sz="1100" b="1" i="0" kern="1200"/>
              </a:p>
            </xdr:txBody>
          </xdr:sp>
        </mc:Fallback>
      </mc:AlternateContent>
    </xdr:grpSp>
    <xdr:clientData/>
  </xdr:twoCellAnchor>
  <xdr:oneCellAnchor>
    <xdr:from>
      <xdr:col>68</xdr:col>
      <xdr:colOff>9338</xdr:colOff>
      <xdr:row>196</xdr:row>
      <xdr:rowOff>149555</xdr:rowOff>
    </xdr:from>
    <xdr:ext cx="24346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508D87A8-8C1E-40AF-8AA5-67191B390B81}"/>
                </a:ext>
              </a:extLst>
            </xdr:cNvPr>
            <xdr:cNvSpPr txBox="1"/>
          </xdr:nvSpPr>
          <xdr:spPr>
            <a:xfrm>
              <a:off x="30899646" y="31017882"/>
              <a:ext cx="24346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𝐓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𝐡𝐡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508D87A8-8C1E-40AF-8AA5-67191B390B81}"/>
                </a:ext>
              </a:extLst>
            </xdr:cNvPr>
            <xdr:cNvSpPr txBox="1"/>
          </xdr:nvSpPr>
          <xdr:spPr>
            <a:xfrm>
              <a:off x="30899646" y="31017882"/>
              <a:ext cx="24346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𝐓_𝐡𝐡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68</xdr:col>
      <xdr:colOff>952</xdr:colOff>
      <xdr:row>204</xdr:row>
      <xdr:rowOff>20955</xdr:rowOff>
    </xdr:from>
    <xdr:ext cx="24493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5A1AF85E-499A-4645-A54E-D6DFFD72E02F}"/>
                </a:ext>
              </a:extLst>
            </xdr:cNvPr>
            <xdr:cNvSpPr txBox="1"/>
          </xdr:nvSpPr>
          <xdr:spPr>
            <a:xfrm>
              <a:off x="30891260" y="32222782"/>
              <a:ext cx="24493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𝐩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𝐡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5A1AF85E-499A-4645-A54E-D6DFFD72E02F}"/>
                </a:ext>
              </a:extLst>
            </xdr:cNvPr>
            <xdr:cNvSpPr txBox="1"/>
          </xdr:nvSpPr>
          <xdr:spPr>
            <a:xfrm>
              <a:off x="30891260" y="32222782"/>
              <a:ext cx="24493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𝐩𝐫_𝐡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42</xdr:col>
      <xdr:colOff>215086</xdr:colOff>
      <xdr:row>173</xdr:row>
      <xdr:rowOff>128435</xdr:rowOff>
    </xdr:from>
    <xdr:ext cx="576312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4" name="TextBox 252">
              <a:extLst>
                <a:ext uri="{FF2B5EF4-FFF2-40B4-BE49-F238E27FC236}">
                  <a16:creationId xmlns:a16="http://schemas.microsoft.com/office/drawing/2014/main" id="{51E1A445-6946-439A-BE2C-F20733DD5772}"/>
                </a:ext>
              </a:extLst>
            </xdr:cNvPr>
            <xdr:cNvSpPr txBox="1"/>
          </xdr:nvSpPr>
          <xdr:spPr>
            <a:xfrm>
              <a:off x="18818338" y="27472771"/>
              <a:ext cx="576312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𝐦𝐚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𝐱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𝐝𝐢𝐬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𝐬𝐭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253" name="TextBox 252">
              <a:extLst>
                <a:ext uri="{FF2B5EF4-FFF2-40B4-BE49-F238E27FC236}">
                  <a16:creationId xmlns:a16="http://schemas.microsoft.com/office/drawing/2014/main" id="{51E1A445-6946-439A-BE2C-F20733DD5772}"/>
                </a:ext>
              </a:extLst>
            </xdr:cNvPr>
            <xdr:cNvSpPr txBox="1"/>
          </xdr:nvSpPr>
          <xdr:spPr>
            <a:xfrm>
              <a:off x="18818338" y="27472771"/>
              <a:ext cx="576312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𝐦𝐚𝐱_(𝐝𝐢𝐬,𝐬𝐭)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42</xdr:col>
      <xdr:colOff>230967</xdr:colOff>
      <xdr:row>174</xdr:row>
      <xdr:rowOff>126238</xdr:rowOff>
    </xdr:from>
    <xdr:ext cx="543290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5" name="TextBox 253">
              <a:extLst>
                <a:ext uri="{FF2B5EF4-FFF2-40B4-BE49-F238E27FC236}">
                  <a16:creationId xmlns:a16="http://schemas.microsoft.com/office/drawing/2014/main" id="{9860B3CE-C5A9-4F2B-BDB0-10029DF55E67}"/>
                </a:ext>
              </a:extLst>
            </xdr:cNvPr>
            <xdr:cNvSpPr txBox="1"/>
          </xdr:nvSpPr>
          <xdr:spPr>
            <a:xfrm>
              <a:off x="18834219" y="27630729"/>
              <a:ext cx="543290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𝐦𝐚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𝐱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𝐜𝐡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𝐬𝐭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9860B3CE-C5A9-4F2B-BDB0-10029DF55E67}"/>
                </a:ext>
              </a:extLst>
            </xdr:cNvPr>
            <xdr:cNvSpPr txBox="1"/>
          </xdr:nvSpPr>
          <xdr:spPr>
            <a:xfrm>
              <a:off x="18834219" y="27630729"/>
              <a:ext cx="543290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𝐦𝐚𝐱_(𝐜𝐡,𝐬𝐭)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44</xdr:col>
      <xdr:colOff>58045</xdr:colOff>
      <xdr:row>174</xdr:row>
      <xdr:rowOff>147242</xdr:rowOff>
    </xdr:from>
    <xdr:ext cx="603370" cy="201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5" name="TextBox 254">
              <a:extLst>
                <a:ext uri="{FF2B5EF4-FFF2-40B4-BE49-F238E27FC236}">
                  <a16:creationId xmlns:a16="http://schemas.microsoft.com/office/drawing/2014/main" id="{87D00159-A23B-4121-AE8F-E4D1CECDEDEC}"/>
                </a:ext>
              </a:extLst>
            </xdr:cNvPr>
            <xdr:cNvSpPr txBox="1"/>
          </xdr:nvSpPr>
          <xdr:spPr>
            <a:xfrm>
              <a:off x="19487359" y="27651733"/>
              <a:ext cx="603370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𝐦𝐚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𝐱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𝐜𝐡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𝐬</m:t>
                        </m:r>
                        <m:sSub>
                          <m:sSubPr>
                            <m:ctrlPr>
                              <a:rPr lang="it-IT" sz="1100" b="1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𝐭</m:t>
                            </m:r>
                          </m:e>
                          <m:sub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𝐩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87D00159-A23B-4121-AE8F-E4D1CECDEDEC}"/>
                </a:ext>
              </a:extLst>
            </xdr:cNvPr>
            <xdr:cNvSpPr txBox="1"/>
          </xdr:nvSpPr>
          <xdr:spPr>
            <a:xfrm>
              <a:off x="19487359" y="27651733"/>
              <a:ext cx="603370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𝐦𝐚𝐱_(𝐜𝐡,𝐬𝐭_𝐩 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41</xdr:col>
      <xdr:colOff>14317</xdr:colOff>
      <xdr:row>237</xdr:row>
      <xdr:rowOff>148852</xdr:rowOff>
    </xdr:from>
    <xdr:ext cx="476669" cy="2577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38B1FB62-3822-4F0C-AB76-C3BDD6290C17}"/>
                </a:ext>
              </a:extLst>
            </xdr:cNvPr>
            <xdr:cNvSpPr txBox="1"/>
          </xdr:nvSpPr>
          <xdr:spPr>
            <a:xfrm>
              <a:off x="19703052" y="35749940"/>
              <a:ext cx="476669" cy="2577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𝐂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𝐜𝐚𝐩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sSub>
                          <m:sSubPr>
                            <m:ctrlPr>
                              <a:rPr lang="it-IT" sz="1100" b="1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𝐝</m:t>
                            </m:r>
                          </m:e>
                          <m:sub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𝐭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38B1FB62-3822-4F0C-AB76-C3BDD6290C17}"/>
                </a:ext>
              </a:extLst>
            </xdr:cNvPr>
            <xdr:cNvSpPr txBox="1"/>
          </xdr:nvSpPr>
          <xdr:spPr>
            <a:xfrm>
              <a:off x="19703052" y="35749940"/>
              <a:ext cx="476669" cy="2577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𝐂_(𝐜𝐚𝐩,𝐝_𝐭 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31</xdr:col>
      <xdr:colOff>329712</xdr:colOff>
      <xdr:row>29</xdr:row>
      <xdr:rowOff>109904</xdr:rowOff>
    </xdr:from>
    <xdr:ext cx="17697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2" name="CasellaDiTesto 60">
              <a:extLst>
                <a:ext uri="{FF2B5EF4-FFF2-40B4-BE49-F238E27FC236}">
                  <a16:creationId xmlns:a16="http://schemas.microsoft.com/office/drawing/2014/main" id="{DBE08483-9FB5-4D90-B487-84E0360BA1A2}"/>
                </a:ext>
              </a:extLst>
            </xdr:cNvPr>
            <xdr:cNvSpPr txBox="1"/>
          </xdr:nvSpPr>
          <xdr:spPr>
            <a:xfrm>
              <a:off x="15826154" y="5348654"/>
              <a:ext cx="17697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𝐈</m:t>
                        </m:r>
                      </m:e>
                      <m:sub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𝐬𝐭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262" name="CasellaDiTesto 60">
              <a:extLst>
                <a:ext uri="{FF2B5EF4-FFF2-40B4-BE49-F238E27FC236}">
                  <a16:creationId xmlns:a16="http://schemas.microsoft.com/office/drawing/2014/main" id="{DBE08483-9FB5-4D90-B487-84E0360BA1A2}"/>
                </a:ext>
              </a:extLst>
            </xdr:cNvPr>
            <xdr:cNvSpPr txBox="1"/>
          </xdr:nvSpPr>
          <xdr:spPr>
            <a:xfrm>
              <a:off x="15826154" y="5348654"/>
              <a:ext cx="17697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𝐈_𝐬𝐭</a:t>
              </a:r>
              <a:endParaRPr lang="it-IT" sz="11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31</xdr:col>
      <xdr:colOff>413109</xdr:colOff>
      <xdr:row>225</xdr:row>
      <xdr:rowOff>116915</xdr:rowOff>
    </xdr:from>
    <xdr:ext cx="16966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418FA7D5-59F8-41A8-89E2-112AA879E967}"/>
                </a:ext>
              </a:extLst>
            </xdr:cNvPr>
            <xdr:cNvSpPr txBox="1"/>
          </xdr:nvSpPr>
          <xdr:spPr>
            <a:xfrm>
              <a:off x="15933256" y="33835415"/>
              <a:ext cx="1696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𝐂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𝐫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418FA7D5-59F8-41A8-89E2-112AA879E967}"/>
                </a:ext>
              </a:extLst>
            </xdr:cNvPr>
            <xdr:cNvSpPr txBox="1"/>
          </xdr:nvSpPr>
          <xdr:spPr>
            <a:xfrm>
              <a:off x="15933256" y="33835415"/>
              <a:ext cx="1696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𝐂_𝐫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31</xdr:col>
      <xdr:colOff>401903</xdr:colOff>
      <xdr:row>231</xdr:row>
      <xdr:rowOff>50313</xdr:rowOff>
    </xdr:from>
    <xdr:ext cx="355995" cy="201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5" name="TextBox 264">
              <a:extLst>
                <a:ext uri="{FF2B5EF4-FFF2-40B4-BE49-F238E27FC236}">
                  <a16:creationId xmlns:a16="http://schemas.microsoft.com/office/drawing/2014/main" id="{54183D81-D214-499C-9194-28CE1A58A3B5}"/>
                </a:ext>
              </a:extLst>
            </xdr:cNvPr>
            <xdr:cNvSpPr txBox="1"/>
          </xdr:nvSpPr>
          <xdr:spPr>
            <a:xfrm>
              <a:off x="15922050" y="34710107"/>
              <a:ext cx="355995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𝐂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𝐫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sSub>
                          <m:sSubPr>
                            <m:ctrlPr>
                              <a:rPr lang="it-IT" sz="1100" b="1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𝐝</m:t>
                            </m:r>
                          </m:e>
                          <m:sub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𝐩𝐞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265" name="TextBox 264">
              <a:extLst>
                <a:ext uri="{FF2B5EF4-FFF2-40B4-BE49-F238E27FC236}">
                  <a16:creationId xmlns:a16="http://schemas.microsoft.com/office/drawing/2014/main" id="{54183D81-D214-499C-9194-28CE1A58A3B5}"/>
                </a:ext>
              </a:extLst>
            </xdr:cNvPr>
            <xdr:cNvSpPr txBox="1"/>
          </xdr:nvSpPr>
          <xdr:spPr>
            <a:xfrm>
              <a:off x="15922050" y="34710107"/>
              <a:ext cx="355995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𝐂_(𝐫,𝐝_𝐩𝐞 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49</xdr:col>
      <xdr:colOff>56713</xdr:colOff>
      <xdr:row>59</xdr:row>
      <xdr:rowOff>87518</xdr:rowOff>
    </xdr:from>
    <xdr:ext cx="25962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CasellaDiTesto 60">
              <a:extLst>
                <a:ext uri="{FF2B5EF4-FFF2-40B4-BE49-F238E27FC236}">
                  <a16:creationId xmlns:a16="http://schemas.microsoft.com/office/drawing/2014/main" id="{15F2F5F2-BBA7-40BB-B16B-806B01DFC057}"/>
                </a:ext>
              </a:extLst>
            </xdr:cNvPr>
            <xdr:cNvSpPr txBox="1"/>
          </xdr:nvSpPr>
          <xdr:spPr>
            <a:xfrm>
              <a:off x="22709648" y="10440779"/>
              <a:ext cx="259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𝐄</m:t>
                        </m:r>
                      </m:e>
                      <m:sub>
                        <m:r>
                          <a:rPr lang="it-IT" sz="1100" b="1" i="0">
                            <a:latin typeface="Cambria Math" panose="02040503050406030204" pitchFamily="18" charset="0"/>
                          </a:rPr>
                          <m:t>𝐭𝐨𝐭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83" name="CasellaDiTesto 60">
              <a:extLst>
                <a:ext uri="{FF2B5EF4-FFF2-40B4-BE49-F238E27FC236}">
                  <a16:creationId xmlns:a16="http://schemas.microsoft.com/office/drawing/2014/main" id="{15F2F5F2-BBA7-40BB-B16B-806B01DFC057}"/>
                </a:ext>
              </a:extLst>
            </xdr:cNvPr>
            <xdr:cNvSpPr txBox="1"/>
          </xdr:nvSpPr>
          <xdr:spPr>
            <a:xfrm>
              <a:off x="22709648" y="10440779"/>
              <a:ext cx="259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latin typeface="Cambria Math" panose="02040503050406030204" pitchFamily="18" charset="0"/>
                </a:rPr>
                <a:t>𝐄_𝐭𝐨𝐭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52</xdr:col>
      <xdr:colOff>23643</xdr:colOff>
      <xdr:row>201</xdr:row>
      <xdr:rowOff>137781</xdr:rowOff>
    </xdr:from>
    <xdr:ext cx="23352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F9270933-86EE-4645-9057-45EAE644711E}"/>
                </a:ext>
              </a:extLst>
            </xdr:cNvPr>
            <xdr:cNvSpPr txBox="1"/>
          </xdr:nvSpPr>
          <xdr:spPr>
            <a:xfrm>
              <a:off x="23894121" y="33384172"/>
              <a:ext cx="2335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𝐞</m:t>
                    </m:r>
                    <m:sSub>
                      <m:sSubPr>
                        <m:ctrlPr>
                          <a:rPr lang="it-IT" sz="1100" b="1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𝐝</m:t>
                        </m:r>
                      </m:sub>
                    </m:sSub>
                  </m:oMath>
                </m:oMathPara>
              </a14:m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F9270933-86EE-4645-9057-45EAE644711E}"/>
                </a:ext>
              </a:extLst>
            </xdr:cNvPr>
            <xdr:cNvSpPr txBox="1"/>
          </xdr:nvSpPr>
          <xdr:spPr>
            <a:xfrm>
              <a:off x="23894121" y="33384172"/>
              <a:ext cx="2335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chemeClr val="tx1"/>
                  </a:solidFill>
                  <a:latin typeface="Cambria Math" panose="02040503050406030204" pitchFamily="18" charset="0"/>
                </a:rPr>
                <a:t>𝐞𝐫_𝐝</a:t>
              </a:r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52</xdr:col>
      <xdr:colOff>378048</xdr:colOff>
      <xdr:row>46</xdr:row>
      <xdr:rowOff>149932</xdr:rowOff>
    </xdr:from>
    <xdr:ext cx="315536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5" name="CasellaDiTesto 60">
              <a:extLst>
                <a:ext uri="{FF2B5EF4-FFF2-40B4-BE49-F238E27FC236}">
                  <a16:creationId xmlns:a16="http://schemas.microsoft.com/office/drawing/2014/main" id="{7410D2F4-40ED-4629-B727-FE651359F641}"/>
                </a:ext>
              </a:extLst>
            </xdr:cNvPr>
            <xdr:cNvSpPr txBox="1"/>
          </xdr:nvSpPr>
          <xdr:spPr>
            <a:xfrm>
              <a:off x="24248526" y="8349715"/>
              <a:ext cx="315536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𝐩</m:t>
                    </m:r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𝐲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𝐲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205" name="CasellaDiTesto 60">
              <a:extLst>
                <a:ext uri="{FF2B5EF4-FFF2-40B4-BE49-F238E27FC236}">
                  <a16:creationId xmlns:a16="http://schemas.microsoft.com/office/drawing/2014/main" id="{7410D2F4-40ED-4629-B727-FE651359F641}"/>
                </a:ext>
              </a:extLst>
            </xdr:cNvPr>
            <xdr:cNvSpPr txBox="1"/>
          </xdr:nvSpPr>
          <xdr:spPr>
            <a:xfrm>
              <a:off x="24248526" y="8349715"/>
              <a:ext cx="315536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𝐩𝐫_(𝐲,𝐲)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31</xdr:col>
      <xdr:colOff>66100</xdr:colOff>
      <xdr:row>144</xdr:row>
      <xdr:rowOff>22215</xdr:rowOff>
    </xdr:from>
    <xdr:ext cx="416075" cy="1867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0" name="CasellaDiTesto 60">
              <a:extLst>
                <a:ext uri="{FF2B5EF4-FFF2-40B4-BE49-F238E27FC236}">
                  <a16:creationId xmlns:a16="http://schemas.microsoft.com/office/drawing/2014/main" id="{8C28AA22-A50E-4BB5-8ADB-663734D7977E}"/>
                </a:ext>
              </a:extLst>
            </xdr:cNvPr>
            <xdr:cNvSpPr txBox="1"/>
          </xdr:nvSpPr>
          <xdr:spPr>
            <a:xfrm>
              <a:off x="15477550" y="23444190"/>
              <a:ext cx="416075" cy="1867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it-IT" sz="110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𝐑</m:t>
                            </m:r>
                          </m:e>
                          <m:sub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𝐮</m:t>
                            </m:r>
                          </m:sub>
                        </m:sSub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𝐭𝐞𝐜𝐡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230" name="CasellaDiTesto 60">
              <a:extLst>
                <a:ext uri="{FF2B5EF4-FFF2-40B4-BE49-F238E27FC236}">
                  <a16:creationId xmlns:a16="http://schemas.microsoft.com/office/drawing/2014/main" id="{8C28AA22-A50E-4BB5-8ADB-663734D7977E}"/>
                </a:ext>
              </a:extLst>
            </xdr:cNvPr>
            <xdr:cNvSpPr txBox="1"/>
          </xdr:nvSpPr>
          <xdr:spPr>
            <a:xfrm>
              <a:off x="15477550" y="23444190"/>
              <a:ext cx="416075" cy="1867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〖𝐑_𝐮〗_𝐭𝐞𝐜𝐡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twoCellAnchor>
    <xdr:from>
      <xdr:col>30</xdr:col>
      <xdr:colOff>260043</xdr:colOff>
      <xdr:row>143</xdr:row>
      <xdr:rowOff>153707</xdr:rowOff>
    </xdr:from>
    <xdr:to>
      <xdr:col>30</xdr:col>
      <xdr:colOff>359018</xdr:colOff>
      <xdr:row>148</xdr:row>
      <xdr:rowOff>14653</xdr:rowOff>
    </xdr:to>
    <xdr:sp macro="" textlink="">
      <xdr:nvSpPr>
        <xdr:cNvPr id="250" name="Right Brace 249">
          <a:extLst>
            <a:ext uri="{FF2B5EF4-FFF2-40B4-BE49-F238E27FC236}">
              <a16:creationId xmlns:a16="http://schemas.microsoft.com/office/drawing/2014/main" id="{E76A0785-CC47-439A-9881-4B14AE9F9AF3}"/>
            </a:ext>
          </a:extLst>
        </xdr:cNvPr>
        <xdr:cNvSpPr/>
      </xdr:nvSpPr>
      <xdr:spPr>
        <a:xfrm flipH="1">
          <a:off x="15331524" y="23314111"/>
          <a:ext cx="98975" cy="666907"/>
        </a:xfrm>
        <a:prstGeom prst="rightBrace">
          <a:avLst>
            <a:gd name="adj1" fmla="val 8333"/>
            <a:gd name="adj2" fmla="val 48925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oneCellAnchor>
    <xdr:from>
      <xdr:col>31</xdr:col>
      <xdr:colOff>9846</xdr:colOff>
      <xdr:row>210</xdr:row>
      <xdr:rowOff>110061</xdr:rowOff>
    </xdr:from>
    <xdr:ext cx="431648" cy="1847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6A0A55BD-608D-4B9A-971B-562F77954673}"/>
                </a:ext>
              </a:extLst>
            </xdr:cNvPr>
            <xdr:cNvSpPr txBox="1"/>
          </xdr:nvSpPr>
          <xdr:spPr>
            <a:xfrm>
              <a:off x="14069758" y="33093534"/>
              <a:ext cx="431648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𝐯𝐚𝐫</m:t>
                        </m:r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𝐨𝐩</m:t>
                        </m:r>
                      </m:sub>
                    </m:sSub>
                  </m:oMath>
                </m:oMathPara>
              </a14:m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6A0A55BD-608D-4B9A-971B-562F77954673}"/>
                </a:ext>
              </a:extLst>
            </xdr:cNvPr>
            <xdr:cNvSpPr txBox="1"/>
          </xdr:nvSpPr>
          <xdr:spPr>
            <a:xfrm>
              <a:off x="14069758" y="33093534"/>
              <a:ext cx="431648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rgbClr val="FF0000"/>
                  </a:solidFill>
                  <a:latin typeface="Cambria Math" panose="02040503050406030204" pitchFamily="18" charset="0"/>
                </a:rPr>
                <a:t>𝐜_(𝐯𝐚𝐫,𝐨𝐩)</a:t>
              </a:r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31</xdr:col>
      <xdr:colOff>275731</xdr:colOff>
      <xdr:row>210</xdr:row>
      <xdr:rowOff>106886</xdr:rowOff>
    </xdr:from>
    <xdr:ext cx="600906" cy="1856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7" name="TextBox 266">
              <a:extLst>
                <a:ext uri="{FF2B5EF4-FFF2-40B4-BE49-F238E27FC236}">
                  <a16:creationId xmlns:a16="http://schemas.microsoft.com/office/drawing/2014/main" id="{1D5219ED-E24C-44F5-A8F7-5C95D943B45C}"/>
                </a:ext>
              </a:extLst>
            </xdr:cNvPr>
            <xdr:cNvSpPr txBox="1"/>
          </xdr:nvSpPr>
          <xdr:spPr>
            <a:xfrm>
              <a:off x="14335643" y="33090359"/>
              <a:ext cx="600906" cy="1856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𝐯𝐚𝐫</m:t>
                        </m:r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𝐨𝐩</m:t>
                        </m:r>
                      </m:sub>
                    </m:sSub>
                  </m:oMath>
                </m:oMathPara>
              </a14:m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267" name="TextBox 266">
              <a:extLst>
                <a:ext uri="{FF2B5EF4-FFF2-40B4-BE49-F238E27FC236}">
                  <a16:creationId xmlns:a16="http://schemas.microsoft.com/office/drawing/2014/main" id="{1D5219ED-E24C-44F5-A8F7-5C95D943B45C}"/>
                </a:ext>
              </a:extLst>
            </xdr:cNvPr>
            <xdr:cNvSpPr txBox="1"/>
          </xdr:nvSpPr>
          <xdr:spPr>
            <a:xfrm>
              <a:off x="14335643" y="33090359"/>
              <a:ext cx="600906" cy="1856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𝐜_(𝐯𝐚𝐫,𝐨𝐩)</a:t>
              </a:r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56768</xdr:colOff>
      <xdr:row>206</xdr:row>
      <xdr:rowOff>84886</xdr:rowOff>
    </xdr:from>
    <xdr:ext cx="18458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271114E0-74DB-4B8E-9D57-C3112E04EAAA}"/>
                </a:ext>
              </a:extLst>
            </xdr:cNvPr>
            <xdr:cNvSpPr txBox="1"/>
          </xdr:nvSpPr>
          <xdr:spPr>
            <a:xfrm>
              <a:off x="12191618" y="33746236"/>
              <a:ext cx="1845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𝐩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𝐦</m:t>
                        </m:r>
                      </m:sub>
                    </m:sSub>
                  </m:oMath>
                </m:oMathPara>
              </a14:m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271114E0-74DB-4B8E-9D57-C3112E04EAAA}"/>
                </a:ext>
              </a:extLst>
            </xdr:cNvPr>
            <xdr:cNvSpPr txBox="1"/>
          </xdr:nvSpPr>
          <xdr:spPr>
            <a:xfrm>
              <a:off x="12191618" y="33746236"/>
              <a:ext cx="1845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rgbClr val="FF0000"/>
                  </a:solidFill>
                  <a:latin typeface="Cambria Math" panose="02040503050406030204" pitchFamily="18" charset="0"/>
                </a:rPr>
                <a:t>𝐩_𝐦</a:t>
              </a:r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294893</xdr:colOff>
      <xdr:row>206</xdr:row>
      <xdr:rowOff>88061</xdr:rowOff>
    </xdr:from>
    <xdr:ext cx="18458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99E35DC6-70AF-4621-ADE4-FC63E73DBA65}"/>
                </a:ext>
              </a:extLst>
            </xdr:cNvPr>
            <xdr:cNvSpPr txBox="1"/>
          </xdr:nvSpPr>
          <xdr:spPr>
            <a:xfrm>
              <a:off x="12429743" y="33749411"/>
              <a:ext cx="1845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𝐩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𝐦</m:t>
                        </m:r>
                      </m:sub>
                    </m:sSub>
                  </m:oMath>
                </m:oMathPara>
              </a14:m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99E35DC6-70AF-4621-ADE4-FC63E73DBA65}"/>
                </a:ext>
              </a:extLst>
            </xdr:cNvPr>
            <xdr:cNvSpPr txBox="1"/>
          </xdr:nvSpPr>
          <xdr:spPr>
            <a:xfrm>
              <a:off x="12429743" y="33749411"/>
              <a:ext cx="1845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𝐩_𝐦</a:t>
              </a:r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9143</xdr:colOff>
      <xdr:row>218</xdr:row>
      <xdr:rowOff>88061</xdr:rowOff>
    </xdr:from>
    <xdr:ext cx="305182" cy="1722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EC919E35-49C2-4911-A0BC-BF52EB287F21}"/>
                </a:ext>
              </a:extLst>
            </xdr:cNvPr>
            <xdr:cNvSpPr txBox="1"/>
          </xdr:nvSpPr>
          <xdr:spPr>
            <a:xfrm>
              <a:off x="12143993" y="35368661"/>
              <a:ext cx="305182" cy="1722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𝐏</m:t>
                    </m:r>
                    <m:sSub>
                      <m:sSubPr>
                        <m:ctrlPr>
                          <a:rPr lang="it-IT" sz="1100" b="1" i="1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𝐏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𝐦</m:t>
                        </m:r>
                      </m:sub>
                    </m:sSub>
                  </m:oMath>
                </m:oMathPara>
              </a14:m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EC919E35-49C2-4911-A0BC-BF52EB287F21}"/>
                </a:ext>
              </a:extLst>
            </xdr:cNvPr>
            <xdr:cNvSpPr txBox="1"/>
          </xdr:nvSpPr>
          <xdr:spPr>
            <a:xfrm>
              <a:off x="12143993" y="35368661"/>
              <a:ext cx="305182" cy="1722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rgbClr val="FF0000"/>
                  </a:solidFill>
                  <a:latin typeface="Cambria Math" panose="02040503050406030204" pitchFamily="18" charset="0"/>
                </a:rPr>
                <a:t>𝐏𝐏_𝐦</a:t>
              </a:r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323468</xdr:colOff>
      <xdr:row>218</xdr:row>
      <xdr:rowOff>88061</xdr:rowOff>
    </xdr:from>
    <xdr:ext cx="305182" cy="1722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EC4DC985-E803-45AA-816D-3E8E20829729}"/>
                </a:ext>
              </a:extLst>
            </xdr:cNvPr>
            <xdr:cNvSpPr txBox="1"/>
          </xdr:nvSpPr>
          <xdr:spPr>
            <a:xfrm>
              <a:off x="12458318" y="35368661"/>
              <a:ext cx="305182" cy="1722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𝐏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𝐦</m:t>
                        </m:r>
                      </m:sub>
                    </m:sSub>
                  </m:oMath>
                </m:oMathPara>
              </a14:m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EC4DC985-E803-45AA-816D-3E8E20829729}"/>
                </a:ext>
              </a:extLst>
            </xdr:cNvPr>
            <xdr:cNvSpPr txBox="1"/>
          </xdr:nvSpPr>
          <xdr:spPr>
            <a:xfrm>
              <a:off x="12458318" y="35368661"/>
              <a:ext cx="305182" cy="1722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𝐏_𝐦</a:t>
              </a:r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30</xdr:col>
      <xdr:colOff>398714</xdr:colOff>
      <xdr:row>239</xdr:row>
      <xdr:rowOff>135381</xdr:rowOff>
    </xdr:from>
    <xdr:ext cx="476669" cy="2577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D0B67D5B-7812-4FC9-B09F-D366D2BFF628}"/>
                </a:ext>
              </a:extLst>
            </xdr:cNvPr>
            <xdr:cNvSpPr txBox="1"/>
          </xdr:nvSpPr>
          <xdr:spPr>
            <a:xfrm>
              <a:off x="14045595" y="37122726"/>
              <a:ext cx="476669" cy="2577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𝐂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𝐟𝐢𝐱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𝐨𝐩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D0B67D5B-7812-4FC9-B09F-D366D2BFF628}"/>
                </a:ext>
              </a:extLst>
            </xdr:cNvPr>
            <xdr:cNvSpPr txBox="1"/>
          </xdr:nvSpPr>
          <xdr:spPr>
            <a:xfrm>
              <a:off x="14045595" y="37122726"/>
              <a:ext cx="476669" cy="2577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𝐂_(𝐟𝐢𝐱,𝐨𝐩)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31</xdr:col>
      <xdr:colOff>23783</xdr:colOff>
      <xdr:row>240</xdr:row>
      <xdr:rowOff>150160</xdr:rowOff>
    </xdr:from>
    <xdr:ext cx="476669" cy="2577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C142E001-8D4E-41CB-B254-4AA0C8F9A909}"/>
                </a:ext>
              </a:extLst>
            </xdr:cNvPr>
            <xdr:cNvSpPr txBox="1"/>
          </xdr:nvSpPr>
          <xdr:spPr>
            <a:xfrm>
              <a:off x="14083695" y="37297660"/>
              <a:ext cx="476669" cy="2577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𝐂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𝐟𝐢𝐱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𝐨𝐩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𝐝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C142E001-8D4E-41CB-B254-4AA0C8F9A909}"/>
                </a:ext>
              </a:extLst>
            </xdr:cNvPr>
            <xdr:cNvSpPr txBox="1"/>
          </xdr:nvSpPr>
          <xdr:spPr>
            <a:xfrm>
              <a:off x="14083695" y="37297660"/>
              <a:ext cx="476669" cy="2577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𝐂_(𝐟𝐢𝐱,𝐨𝐩,𝐝)</a:t>
              </a:r>
              <a:endParaRPr lang="en-US" sz="1100" b="1" i="0" kern="1200"/>
            </a:p>
          </xdr:txBody>
        </xdr:sp>
      </mc:Fallback>
    </mc:AlternateContent>
    <xdr:clientData/>
  </xdr:oneCellAnchor>
  <xdr:twoCellAnchor>
    <xdr:from>
      <xdr:col>31</xdr:col>
      <xdr:colOff>26069</xdr:colOff>
      <xdr:row>95</xdr:row>
      <xdr:rowOff>117474</xdr:rowOff>
    </xdr:from>
    <xdr:to>
      <xdr:col>36</xdr:col>
      <xdr:colOff>381003</xdr:colOff>
      <xdr:row>97</xdr:row>
      <xdr:rowOff>0</xdr:rowOff>
    </xdr:to>
    <xdr:sp macro="" textlink="">
      <xdr:nvSpPr>
        <xdr:cNvPr id="260" name="Right Brace 259">
          <a:extLst>
            <a:ext uri="{FF2B5EF4-FFF2-40B4-BE49-F238E27FC236}">
              <a16:creationId xmlns:a16="http://schemas.microsoft.com/office/drawing/2014/main" id="{30F0BEE9-1A83-4345-8EB2-90E1A75D0ABF}"/>
            </a:ext>
          </a:extLst>
        </xdr:cNvPr>
        <xdr:cNvSpPr/>
      </xdr:nvSpPr>
      <xdr:spPr>
        <a:xfrm rot="16200000">
          <a:off x="15116511" y="14992682"/>
          <a:ext cx="206376" cy="2402809"/>
        </a:xfrm>
        <a:prstGeom prst="rightBrace">
          <a:avLst>
            <a:gd name="adj1" fmla="val 17501"/>
            <a:gd name="adj2" fmla="val 50000"/>
          </a:avLst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oneCellAnchor>
    <xdr:from>
      <xdr:col>23</xdr:col>
      <xdr:colOff>2792</xdr:colOff>
      <xdr:row>222</xdr:row>
      <xdr:rowOff>145211</xdr:rowOff>
    </xdr:from>
    <xdr:ext cx="371857" cy="1818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4" name="TextBox 533">
              <a:extLst>
                <a:ext uri="{FF2B5EF4-FFF2-40B4-BE49-F238E27FC236}">
                  <a16:creationId xmlns:a16="http://schemas.microsoft.com/office/drawing/2014/main" id="{D1AEB1D4-0B2C-492D-81D9-A306BF363219}"/>
                </a:ext>
              </a:extLst>
            </xdr:cNvPr>
            <xdr:cNvSpPr txBox="1"/>
          </xdr:nvSpPr>
          <xdr:spPr>
            <a:xfrm>
              <a:off x="10718417" y="35749661"/>
              <a:ext cx="371857" cy="1818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𝐏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𝐦</m:t>
                        </m:r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𝐭𝐨𝐭</m:t>
                        </m:r>
                      </m:sub>
                    </m:sSub>
                  </m:oMath>
                </m:oMathPara>
              </a14:m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534" name="TextBox 533">
              <a:extLst>
                <a:ext uri="{FF2B5EF4-FFF2-40B4-BE49-F238E27FC236}">
                  <a16:creationId xmlns:a16="http://schemas.microsoft.com/office/drawing/2014/main" id="{D1AEB1D4-0B2C-492D-81D9-A306BF363219}"/>
                </a:ext>
              </a:extLst>
            </xdr:cNvPr>
            <xdr:cNvSpPr txBox="1"/>
          </xdr:nvSpPr>
          <xdr:spPr>
            <a:xfrm>
              <a:off x="10718417" y="35749661"/>
              <a:ext cx="371857" cy="1818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𝐏_(𝐦,𝐭𝐨𝐭)</a:t>
              </a:r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390142</xdr:colOff>
      <xdr:row>222</xdr:row>
      <xdr:rowOff>151560</xdr:rowOff>
    </xdr:from>
    <xdr:ext cx="467108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5" name="TextBox 534">
              <a:extLst>
                <a:ext uri="{FF2B5EF4-FFF2-40B4-BE49-F238E27FC236}">
                  <a16:creationId xmlns:a16="http://schemas.microsoft.com/office/drawing/2014/main" id="{999CA7DD-6477-4661-83AA-D678D7A7D24C}"/>
                </a:ext>
              </a:extLst>
            </xdr:cNvPr>
            <xdr:cNvSpPr txBox="1"/>
          </xdr:nvSpPr>
          <xdr:spPr>
            <a:xfrm>
              <a:off x="11105767" y="35756010"/>
              <a:ext cx="467108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𝐏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𝐦</m:t>
                        </m:r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𝐭𝐨𝐭</m:t>
                        </m:r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</m:sSub>
                  </m:oMath>
                </m:oMathPara>
              </a14:m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535" name="TextBox 534">
              <a:extLst>
                <a:ext uri="{FF2B5EF4-FFF2-40B4-BE49-F238E27FC236}">
                  <a16:creationId xmlns:a16="http://schemas.microsoft.com/office/drawing/2014/main" id="{999CA7DD-6477-4661-83AA-D678D7A7D24C}"/>
                </a:ext>
              </a:extLst>
            </xdr:cNvPr>
            <xdr:cNvSpPr txBox="1"/>
          </xdr:nvSpPr>
          <xdr:spPr>
            <a:xfrm>
              <a:off x="11105767" y="35756010"/>
              <a:ext cx="467108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𝐏_(𝐦,𝐭𝐨𝐭,𝐜)</a:t>
              </a:r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1298192</xdr:colOff>
      <xdr:row>223</xdr:row>
      <xdr:rowOff>142036</xdr:rowOff>
    </xdr:from>
    <xdr:ext cx="495683" cy="1818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6" name="TextBox 535">
              <a:extLst>
                <a:ext uri="{FF2B5EF4-FFF2-40B4-BE49-F238E27FC236}">
                  <a16:creationId xmlns:a16="http://schemas.microsoft.com/office/drawing/2014/main" id="{08CE1982-F249-49EC-9DA3-56F6767E2B4F}"/>
                </a:ext>
              </a:extLst>
            </xdr:cNvPr>
            <xdr:cNvSpPr txBox="1"/>
          </xdr:nvSpPr>
          <xdr:spPr>
            <a:xfrm>
              <a:off x="10708892" y="35908411"/>
              <a:ext cx="495683" cy="1818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𝐏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𝐦</m:t>
                        </m:r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𝐭𝐨𝐭</m:t>
                        </m:r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𝐝</m:t>
                        </m:r>
                      </m:sub>
                    </m:sSub>
                  </m:oMath>
                </m:oMathPara>
              </a14:m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536" name="TextBox 535">
              <a:extLst>
                <a:ext uri="{FF2B5EF4-FFF2-40B4-BE49-F238E27FC236}">
                  <a16:creationId xmlns:a16="http://schemas.microsoft.com/office/drawing/2014/main" id="{08CE1982-F249-49EC-9DA3-56F6767E2B4F}"/>
                </a:ext>
              </a:extLst>
            </xdr:cNvPr>
            <xdr:cNvSpPr txBox="1"/>
          </xdr:nvSpPr>
          <xdr:spPr>
            <a:xfrm>
              <a:off x="10708892" y="35908411"/>
              <a:ext cx="495683" cy="1818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𝐏_(𝐦,𝐭𝐨𝐭,𝐝)</a:t>
              </a:r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2793</xdr:colOff>
      <xdr:row>221</xdr:row>
      <xdr:rowOff>88060</xdr:rowOff>
    </xdr:from>
    <xdr:ext cx="476632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7" name="TextBox 536">
              <a:extLst>
                <a:ext uri="{FF2B5EF4-FFF2-40B4-BE49-F238E27FC236}">
                  <a16:creationId xmlns:a16="http://schemas.microsoft.com/office/drawing/2014/main" id="{88CD5828-C4CF-49AA-82CB-E70804424E12}"/>
                </a:ext>
              </a:extLst>
            </xdr:cNvPr>
            <xdr:cNvSpPr txBox="1"/>
          </xdr:nvSpPr>
          <xdr:spPr>
            <a:xfrm>
              <a:off x="10718418" y="35530585"/>
              <a:ext cx="476632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𝐏𝐏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𝐦</m:t>
                        </m:r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𝐭𝐨𝐭</m:t>
                        </m:r>
                      </m:sub>
                    </m:sSub>
                  </m:oMath>
                </m:oMathPara>
              </a14:m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537" name="TextBox 536">
              <a:extLst>
                <a:ext uri="{FF2B5EF4-FFF2-40B4-BE49-F238E27FC236}">
                  <a16:creationId xmlns:a16="http://schemas.microsoft.com/office/drawing/2014/main" id="{88CD5828-C4CF-49AA-82CB-E70804424E12}"/>
                </a:ext>
              </a:extLst>
            </xdr:cNvPr>
            <xdr:cNvSpPr txBox="1"/>
          </xdr:nvSpPr>
          <xdr:spPr>
            <a:xfrm>
              <a:off x="10718418" y="35530585"/>
              <a:ext cx="476632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rgbClr val="FF0000"/>
                  </a:solidFill>
                  <a:latin typeface="Cambria Math" panose="02040503050406030204" pitchFamily="18" charset="0"/>
                </a:rPr>
                <a:t>〖𝐏𝐏〗_(𝐦,𝐭𝐨𝐭)</a:t>
              </a:r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1955300</xdr:colOff>
      <xdr:row>80</xdr:row>
      <xdr:rowOff>132341</xdr:rowOff>
    </xdr:from>
    <xdr:ext cx="239103" cy="184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sellaDiTesto 60">
              <a:extLst>
                <a:ext uri="{FF2B5EF4-FFF2-40B4-BE49-F238E27FC236}">
                  <a16:creationId xmlns:a16="http://schemas.microsoft.com/office/drawing/2014/main" id="{50A4757F-D089-43BA-A630-9E31C3758D78}"/>
                </a:ext>
              </a:extLst>
            </xdr:cNvPr>
            <xdr:cNvSpPr txBox="1"/>
          </xdr:nvSpPr>
          <xdr:spPr>
            <a:xfrm>
              <a:off x="12142514" y="13775770"/>
              <a:ext cx="239103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sSub>
                          <m:sSubPr>
                            <m:ctrlPr>
                              <a:rPr lang="it-IT" sz="1100" b="1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  <m:t>𝐯</m:t>
                            </m:r>
                          </m:e>
                          <m:sub>
                            <m:r>
                              <a:rPr lang="it-IT" sz="1100" b="1" i="0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  <m:t>𝐞𝐱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3" name="CasellaDiTesto 60">
              <a:extLst>
                <a:ext uri="{FF2B5EF4-FFF2-40B4-BE49-F238E27FC236}">
                  <a16:creationId xmlns:a16="http://schemas.microsoft.com/office/drawing/2014/main" id="{50A4757F-D089-43BA-A630-9E31C3758D78}"/>
                </a:ext>
              </a:extLst>
            </xdr:cNvPr>
            <xdr:cNvSpPr txBox="1"/>
          </xdr:nvSpPr>
          <xdr:spPr>
            <a:xfrm>
              <a:off x="12142514" y="13775770"/>
              <a:ext cx="239103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𝐫_(𝐯_𝐞𝐱 )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23</xdr:col>
      <xdr:colOff>238985</xdr:colOff>
      <xdr:row>80</xdr:row>
      <xdr:rowOff>139598</xdr:rowOff>
    </xdr:from>
    <xdr:ext cx="239103" cy="184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CasellaDiTesto 60">
              <a:extLst>
                <a:ext uri="{FF2B5EF4-FFF2-40B4-BE49-F238E27FC236}">
                  <a16:creationId xmlns:a16="http://schemas.microsoft.com/office/drawing/2014/main" id="{AAD47E10-E242-4981-A0F2-9F5E08AB3B53}"/>
                </a:ext>
              </a:extLst>
            </xdr:cNvPr>
            <xdr:cNvSpPr txBox="1"/>
          </xdr:nvSpPr>
          <xdr:spPr>
            <a:xfrm>
              <a:off x="12394699" y="13783027"/>
              <a:ext cx="239103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sSub>
                          <m:sSubPr>
                            <m:ctrlPr>
                              <a:rPr lang="it-IT" sz="110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𝐯</m:t>
                            </m:r>
                          </m:e>
                          <m:sub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𝐞𝐱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39" name="CasellaDiTesto 60">
              <a:extLst>
                <a:ext uri="{FF2B5EF4-FFF2-40B4-BE49-F238E27FC236}">
                  <a16:creationId xmlns:a16="http://schemas.microsoft.com/office/drawing/2014/main" id="{AAD47E10-E242-4981-A0F2-9F5E08AB3B53}"/>
                </a:ext>
              </a:extLst>
            </xdr:cNvPr>
            <xdr:cNvSpPr txBox="1"/>
          </xdr:nvSpPr>
          <xdr:spPr>
            <a:xfrm>
              <a:off x="12394699" y="13783027"/>
              <a:ext cx="239103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𝐫_(𝐯_𝐞𝐱 )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23</xdr:col>
      <xdr:colOff>26110</xdr:colOff>
      <xdr:row>78</xdr:row>
      <xdr:rowOff>149685</xdr:rowOff>
    </xdr:from>
    <xdr:ext cx="257058" cy="1848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9" name="CasellaDiTesto 60">
              <a:extLst>
                <a:ext uri="{FF2B5EF4-FFF2-40B4-BE49-F238E27FC236}">
                  <a16:creationId xmlns:a16="http://schemas.microsoft.com/office/drawing/2014/main" id="{DC8D9DE4-6E5C-45EB-A321-3BAF9ED0B58F}"/>
                </a:ext>
              </a:extLst>
            </xdr:cNvPr>
            <xdr:cNvSpPr txBox="1"/>
          </xdr:nvSpPr>
          <xdr:spPr>
            <a:xfrm>
              <a:off x="12181824" y="13466542"/>
              <a:ext cx="257058" cy="1848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sSub>
                          <m:sSubPr>
                            <m:ctrlPr>
                              <a:rPr lang="it-IT" sz="110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𝐯</m:t>
                            </m:r>
                          </m:e>
                          <m:sub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𝐧𝐛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449" name="CasellaDiTesto 60">
              <a:extLst>
                <a:ext uri="{FF2B5EF4-FFF2-40B4-BE49-F238E27FC236}">
                  <a16:creationId xmlns:a16="http://schemas.microsoft.com/office/drawing/2014/main" id="{DC8D9DE4-6E5C-45EB-A321-3BAF9ED0B58F}"/>
                </a:ext>
              </a:extLst>
            </xdr:cNvPr>
            <xdr:cNvSpPr txBox="1"/>
          </xdr:nvSpPr>
          <xdr:spPr>
            <a:xfrm>
              <a:off x="12181824" y="13466542"/>
              <a:ext cx="257058" cy="1848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𝐫_(𝐯_𝐧𝐛 )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54</xdr:col>
      <xdr:colOff>83208</xdr:colOff>
      <xdr:row>81</xdr:row>
      <xdr:rowOff>150686</xdr:rowOff>
    </xdr:from>
    <xdr:ext cx="2594115" cy="2938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0" name="CasellaDiTesto 60">
              <a:extLst>
                <a:ext uri="{FF2B5EF4-FFF2-40B4-BE49-F238E27FC236}">
                  <a16:creationId xmlns:a16="http://schemas.microsoft.com/office/drawing/2014/main" id="{EE9EA929-2777-407D-850A-4F05F37F3E9C}"/>
                </a:ext>
              </a:extLst>
            </xdr:cNvPr>
            <xdr:cNvSpPr txBox="1"/>
          </xdr:nvSpPr>
          <xdr:spPr>
            <a:xfrm>
              <a:off x="24893565" y="13957400"/>
              <a:ext cx="2594115" cy="2938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it-IT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1:</m:t>
                    </m:r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sSub>
                          <m:sSubPr>
                            <m:ctrlPr>
                              <a:rPr lang="it-IT" sz="1100" b="1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  <m:t>𝐯</m:t>
                            </m:r>
                          </m:e>
                          <m:sub>
                            <m:r>
                              <a:rPr lang="it-IT" sz="1100" b="1" i="0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  <m:t>𝐧𝐛</m:t>
                            </m:r>
                          </m:sub>
                        </m:sSub>
                      </m:sub>
                    </m:sSub>
                    <m:r>
                      <a:rPr lang="it-IT" sz="110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𝐫</m:t>
                        </m:r>
                      </m:e>
                      <m:sub>
                        <m:sSub>
                          <m:sSubPr>
                            <m:ctrlPr>
                              <a:rPr lang="it-IT" sz="110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𝐯</m:t>
                            </m:r>
                          </m:e>
                          <m:sub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𝐞𝐱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it-IT" sz="1100" b="0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450" name="CasellaDiTesto 60">
              <a:extLst>
                <a:ext uri="{FF2B5EF4-FFF2-40B4-BE49-F238E27FC236}">
                  <a16:creationId xmlns:a16="http://schemas.microsoft.com/office/drawing/2014/main" id="{EE9EA929-2777-407D-850A-4F05F37F3E9C}"/>
                </a:ext>
              </a:extLst>
            </xdr:cNvPr>
            <xdr:cNvSpPr txBox="1"/>
          </xdr:nvSpPr>
          <xdr:spPr>
            <a:xfrm>
              <a:off x="24893565" y="13957400"/>
              <a:ext cx="2594115" cy="2938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it-I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1:</a:t>
              </a:r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𝐫_(𝐯_𝐧𝐛 )</a:t>
              </a:r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=𝐫_(𝐯_𝐞𝐱 )</a:t>
              </a:r>
              <a:endParaRPr lang="it-IT" sz="1100" b="0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twoCellAnchor>
    <xdr:from>
      <xdr:col>54</xdr:col>
      <xdr:colOff>45211</xdr:colOff>
      <xdr:row>152</xdr:row>
      <xdr:rowOff>104661</xdr:rowOff>
    </xdr:from>
    <xdr:to>
      <xdr:col>63</xdr:col>
      <xdr:colOff>68007</xdr:colOff>
      <xdr:row>163</xdr:row>
      <xdr:rowOff>26052</xdr:rowOff>
    </xdr:to>
    <xdr:grpSp>
      <xdr:nvGrpSpPr>
        <xdr:cNvPr id="457" name="Group 456">
          <a:extLst>
            <a:ext uri="{FF2B5EF4-FFF2-40B4-BE49-F238E27FC236}">
              <a16:creationId xmlns:a16="http://schemas.microsoft.com/office/drawing/2014/main" id="{D2D7E8E5-9E3A-5E04-86DB-638E217E1E3B}"/>
            </a:ext>
          </a:extLst>
        </xdr:cNvPr>
        <xdr:cNvGrpSpPr/>
      </xdr:nvGrpSpPr>
      <xdr:grpSpPr>
        <a:xfrm>
          <a:off x="23375111" y="25777711"/>
          <a:ext cx="3680396" cy="1737491"/>
          <a:chOff x="23616580" y="25412283"/>
          <a:chExt cx="3727236" cy="1006418"/>
        </a:xfrm>
      </xdr:grpSpPr>
      <xdr:grpSp>
        <xdr:nvGrpSpPr>
          <xdr:cNvPr id="363" name="Group 213">
            <a:extLst>
              <a:ext uri="{FF2B5EF4-FFF2-40B4-BE49-F238E27FC236}">
                <a16:creationId xmlns:a16="http://schemas.microsoft.com/office/drawing/2014/main" id="{4F247CFE-DAE8-30EB-3953-8E6D86FEA71D}"/>
              </a:ext>
            </a:extLst>
          </xdr:cNvPr>
          <xdr:cNvGrpSpPr/>
        </xdr:nvGrpSpPr>
        <xdr:grpSpPr>
          <a:xfrm>
            <a:off x="23616580" y="25412283"/>
            <a:ext cx="3727236" cy="642910"/>
            <a:chOff x="26025639" y="23629470"/>
            <a:chExt cx="3757368" cy="509742"/>
          </a:xfrm>
        </xdr:grpSpPr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364" name="CasellaDiTesto 60">
                  <a:extLst>
                    <a:ext uri="{FF2B5EF4-FFF2-40B4-BE49-F238E27FC236}">
                      <a16:creationId xmlns:a16="http://schemas.microsoft.com/office/drawing/2014/main" id="{A4F8A59E-E082-766C-6B26-B11822862BCD}"/>
                    </a:ext>
                  </a:extLst>
                </xdr:cNvPr>
                <xdr:cNvSpPr txBox="1"/>
              </xdr:nvSpPr>
              <xdr:spPr>
                <a:xfrm>
                  <a:off x="26025639" y="23629470"/>
                  <a:ext cx="3757368" cy="212327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14:m>
                    <m:oMath xmlns:m="http://schemas.openxmlformats.org/officeDocument/2006/math">
                      <m:r>
                        <a:rPr lang="it-IT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𝐑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𝐯𝐮</m:t>
                          </m:r>
                        </m:sub>
                      </m:sSub>
                      <m:r>
                        <a:rPr lang="it-IT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𝐫</m:t>
                          </m:r>
                          <m: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′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𝐯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𝐞𝐧𝐯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sub>
                      </m:sSub>
                      <m: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∙</m:t>
                      </m:r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𝐔</m:t>
                      </m:r>
                      <m: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∙</m:t>
                      </m:r>
                      <m:d>
                        <m:d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</m:ctrlPr>
                        </m:dPr>
                        <m:e>
                          <m:r>
                            <a:rPr lang="it-IT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1</m:t>
                          </m:r>
                          <m: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−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𝐫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𝐓</m:t>
                              </m:r>
                            </m:sub>
                          </m:sSub>
                          <m:r>
                            <m:rPr>
                              <m:nor/>
                            </m:rPr>
                            <a:rPr lang="it-IT">
                              <a:effectLst/>
                            </a:rPr>
                            <m:t> </m:t>
                          </m:r>
                        </m:e>
                      </m:d>
                      <m:r>
                        <a:rPr lang="it-IT" b="1" i="1">
                          <a:effectLst/>
                          <a:latin typeface="Cambria Math" panose="02040503050406030204" pitchFamily="18" charset="0"/>
                        </a:rPr>
                        <m:t>+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𝐫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𝐯𝐮</m:t>
                          </m:r>
                        </m:sub>
                      </m:sSub>
                      <m: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∙</m:t>
                      </m:r>
                      <m:d>
                        <m:d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</m:ctrlPr>
                        </m:d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𝐯</m:t>
                          </m:r>
                          <m: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′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𝐈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𝐬𝐭</m:t>
                              </m:r>
                            </m:sub>
                          </m:sSub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acc>
                                <m:accPr>
                                  <m:chr m:val="̂"/>
                                  <m:ctrlPr>
                                    <a:rPr lang="it-IT" sz="1100" b="1" i="1">
                                      <a:solidFill>
                                        <a:srgbClr val="FF0000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accPr>
                                <m:e>
                                  <m:r>
                                    <a:rPr lang="it-IT" sz="1100" b="1" i="0">
                                      <a:solidFill>
                                        <a:srgbClr val="FF0000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𝐗</m:t>
                                  </m:r>
                                </m:e>
                              </m:acc>
                            </m:e>
                            <m:sub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𝐲</m:t>
                              </m:r>
                            </m:sub>
                          </m:sSub>
                        </m:e>
                      </m:d>
                    </m:oMath>
                  </a14:m>
                  <a:r>
                    <a:rPr lang="it-IT" sz="1100" b="0" i="0">
                      <a:solidFill>
                        <a:sysClr val="windowText" lastClr="000000"/>
                      </a:solidFill>
                    </a:rPr>
                    <a:t> </a:t>
                  </a:r>
                </a:p>
              </xdr:txBody>
            </xdr:sp>
          </mc:Choice>
          <mc:Fallback xmlns="">
            <xdr:sp macro="" textlink="">
              <xdr:nvSpPr>
                <xdr:cNvPr id="364" name="CasellaDiTesto 60">
                  <a:extLst>
                    <a:ext uri="{FF2B5EF4-FFF2-40B4-BE49-F238E27FC236}">
                      <a16:creationId xmlns:a16="http://schemas.microsoft.com/office/drawing/2014/main" id="{A4F8A59E-E082-766C-6B26-B11822862BCD}"/>
                    </a:ext>
                  </a:extLst>
                </xdr:cNvPr>
                <xdr:cNvSpPr txBox="1"/>
              </xdr:nvSpPr>
              <xdr:spPr>
                <a:xfrm>
                  <a:off x="26025639" y="23629470"/>
                  <a:ext cx="3757368" cy="212327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it-IT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0: </a:t>
                  </a:r>
                  <a:r>
                    <a:rPr lang="it-IT" sz="1100" b="1" i="0">
                      <a:solidFill>
                        <a:srgbClr val="FF0000"/>
                      </a:solidFill>
                      <a:latin typeface="Cambria Math" panose="02040503050406030204" pitchFamily="18" charset="0"/>
                    </a:rPr>
                    <a:t>𝐑_𝐯𝐮</a:t>
                  </a:r>
                  <a:r>
                    <a:rPr lang="it-IT" sz="1100" b="1" i="0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</a:rPr>
                    <a:t>=</a:t>
                  </a:r>
                  <a:r>
                    <a:rPr lang="it-IT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〖𝐫′〗_(𝐯,𝐞𝐧𝐯,𝐩)</a:t>
                  </a:r>
                  <a:r>
                    <a:rPr lang="it-IT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a:t>∙</a:t>
                  </a:r>
                  <a:r>
                    <a:rPr lang="it-IT" sz="1100" b="1" i="0">
                      <a:solidFill>
                        <a:srgbClr val="FF0000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a:t>𝐔</a:t>
                  </a:r>
                  <a:r>
                    <a:rPr lang="it-IT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a:t>∙(</a:t>
                  </a:r>
                  <a:r>
                    <a:rPr lang="it-IT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a:t>1</a:t>
                  </a:r>
                  <a:r>
                    <a:rPr lang="it-IT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a:t>−</a:t>
                  </a:r>
                  <a:r>
                    <a:rPr lang="it-IT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𝐫_𝐓 "</a:t>
                  </a:r>
                  <a:r>
                    <a:rPr lang="it-IT" i="0">
                      <a:effectLst/>
                    </a:rPr>
                    <a:t> </a:t>
                  </a:r>
                  <a:r>
                    <a:rPr lang="it-IT" b="1" i="0">
                      <a:effectLst/>
                      <a:latin typeface="Cambria Math" panose="02040503050406030204" pitchFamily="18" charset="0"/>
                    </a:rPr>
                    <a:t>" )+</a:t>
                  </a:r>
                  <a:r>
                    <a:rPr lang="it-IT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𝐫_𝐯𝐮</a:t>
                  </a:r>
                  <a:r>
                    <a:rPr lang="it-IT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a:t>∙(𝐯′</a:t>
                  </a:r>
                  <a:r>
                    <a:rPr lang="it-IT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𝐈_𝐬𝐭</a:t>
                  </a:r>
                  <a:r>
                    <a:rPr lang="it-IT" sz="1100" b="1" i="0">
                      <a:solidFill>
                        <a:srgbClr val="FF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 𝐗 ̂_𝐲 )</a:t>
                  </a:r>
                  <a:r>
                    <a:rPr lang="it-IT" sz="1100" b="0" i="0">
                      <a:solidFill>
                        <a:sysClr val="windowText" lastClr="000000"/>
                      </a:solidFill>
                    </a:rPr>
                    <a:t> </a:t>
                  </a: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365" name="CasellaDiTesto 60">
                  <a:extLst>
                    <a:ext uri="{FF2B5EF4-FFF2-40B4-BE49-F238E27FC236}">
                      <a16:creationId xmlns:a16="http://schemas.microsoft.com/office/drawing/2014/main" id="{9E0907B4-268D-B993-09FC-3A54701E5869}"/>
                    </a:ext>
                  </a:extLst>
                </xdr:cNvPr>
                <xdr:cNvSpPr txBox="1"/>
              </xdr:nvSpPr>
              <xdr:spPr>
                <a:xfrm>
                  <a:off x="26047740" y="23805322"/>
                  <a:ext cx="2186709" cy="184794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spAutoFit/>
                </a:bodyPr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14:m>
                    <m:oMath xmlns:m="http://schemas.openxmlformats.org/officeDocument/2006/math">
                      <m:r>
                        <a:rPr lang="it-IT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𝐑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𝐯𝐮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𝐂</m:t>
                          </m:r>
                        </m:sub>
                      </m:sSub>
                      <m:r>
                        <a:rPr lang="it-IT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𝐫</m:t>
                          </m:r>
                          <m: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′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𝐯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𝐞𝐧𝐯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sub>
                      </m:sSub>
                      <m: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∙</m:t>
                      </m:r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𝐔</m:t>
                      </m:r>
                      <m: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∙</m:t>
                      </m:r>
                      <m:d>
                        <m:d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</m:ctrlPr>
                        </m:dPr>
                        <m:e>
                          <m: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−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𝐫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𝐂</m:t>
                              </m:r>
                            </m:sub>
                          </m:sSub>
                          <m:r>
                            <m:rPr>
                              <m:nor/>
                            </m:rPr>
                            <a:rPr lang="it-IT">
                              <a:effectLst/>
                            </a:rPr>
                            <m:t> </m:t>
                          </m:r>
                        </m:e>
                      </m:d>
                    </m:oMath>
                  </a14:m>
                  <a:r>
                    <a:rPr lang="it-IT" sz="1100" b="0" i="0">
                      <a:solidFill>
                        <a:sysClr val="windowText" lastClr="000000"/>
                      </a:solidFill>
                    </a:rPr>
                    <a:t> </a:t>
                  </a:r>
                </a:p>
              </xdr:txBody>
            </xdr:sp>
          </mc:Choice>
          <mc:Fallback xmlns="">
            <xdr:sp macro="" textlink="">
              <xdr:nvSpPr>
                <xdr:cNvPr id="365" name="CasellaDiTesto 60">
                  <a:extLst>
                    <a:ext uri="{FF2B5EF4-FFF2-40B4-BE49-F238E27FC236}">
                      <a16:creationId xmlns:a16="http://schemas.microsoft.com/office/drawing/2014/main" id="{9E0907B4-268D-B993-09FC-3A54701E5869}"/>
                    </a:ext>
                  </a:extLst>
                </xdr:cNvPr>
                <xdr:cNvSpPr txBox="1"/>
              </xdr:nvSpPr>
              <xdr:spPr>
                <a:xfrm>
                  <a:off x="26047740" y="23805322"/>
                  <a:ext cx="2186709" cy="184794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spAutoFit/>
                </a:bodyPr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it-IT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0: </a:t>
                  </a:r>
                  <a:r>
                    <a:rPr lang="it-IT" sz="1100" b="1" i="0">
                      <a:solidFill>
                        <a:srgbClr val="FF0000"/>
                      </a:solidFill>
                      <a:latin typeface="Cambria Math" panose="02040503050406030204" pitchFamily="18" charset="0"/>
                    </a:rPr>
                    <a:t>𝐑_(𝐯𝐮,𝐂)</a:t>
                  </a:r>
                  <a:r>
                    <a:rPr lang="it-IT" sz="1100" b="1" i="0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</a:rPr>
                    <a:t>=</a:t>
                  </a:r>
                  <a:r>
                    <a:rPr lang="it-IT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〖𝐫′〗_(𝐯,𝐞𝐧𝐯,𝐩)</a:t>
                  </a:r>
                  <a:r>
                    <a:rPr lang="it-IT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a:t>∙</a:t>
                  </a:r>
                  <a:r>
                    <a:rPr lang="it-IT" sz="1100" b="1" i="0">
                      <a:solidFill>
                        <a:srgbClr val="FF0000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a:t>𝐔</a:t>
                  </a:r>
                  <a:r>
                    <a:rPr lang="it-IT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a:t>∙(−</a:t>
                  </a:r>
                  <a:r>
                    <a:rPr lang="it-IT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𝐫_𝐂 "</a:t>
                  </a:r>
                  <a:r>
                    <a:rPr lang="it-IT" i="0">
                      <a:effectLst/>
                    </a:rPr>
                    <a:t> </a:t>
                  </a:r>
                  <a:r>
                    <a:rPr lang="it-IT" b="1" i="0">
                      <a:effectLst/>
                      <a:latin typeface="Cambria Math" panose="02040503050406030204" pitchFamily="18" charset="0"/>
                    </a:rPr>
                    <a:t>" )</a:t>
                  </a:r>
                  <a:r>
                    <a:rPr lang="it-IT" sz="1100" b="0" i="0">
                      <a:solidFill>
                        <a:sysClr val="windowText" lastClr="000000"/>
                      </a:solidFill>
                    </a:rPr>
                    <a:t> </a:t>
                  </a: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366" name="CasellaDiTesto 60">
                  <a:extLst>
                    <a:ext uri="{FF2B5EF4-FFF2-40B4-BE49-F238E27FC236}">
                      <a16:creationId xmlns:a16="http://schemas.microsoft.com/office/drawing/2014/main" id="{353725F1-7F75-E927-BB99-54D8E8FF6D96}"/>
                    </a:ext>
                  </a:extLst>
                </xdr:cNvPr>
                <xdr:cNvSpPr txBox="1"/>
              </xdr:nvSpPr>
              <xdr:spPr>
                <a:xfrm>
                  <a:off x="26057757" y="23965797"/>
                  <a:ext cx="2186709" cy="1734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spAutoFit/>
                </a:bodyPr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14:m>
                    <m:oMath xmlns:m="http://schemas.openxmlformats.org/officeDocument/2006/math">
                      <m:r>
                        <a:rPr lang="it-IT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𝐑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𝐯𝐞</m:t>
                          </m:r>
                        </m:sub>
                      </m:sSub>
                      <m:r>
                        <a:rPr lang="it-IT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𝐫</m:t>
                          </m:r>
                          <m: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′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𝐯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𝐞𝐧𝐯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sub>
                      </m:sSub>
                      <m: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∙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𝐄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𝐭𝐨𝐭</m:t>
                          </m:r>
                        </m:sub>
                      </m:sSub>
                    </m:oMath>
                  </a14:m>
                  <a:r>
                    <a:rPr lang="it-IT" sz="1100" b="0" i="0">
                      <a:solidFill>
                        <a:sysClr val="windowText" lastClr="000000"/>
                      </a:solidFill>
                    </a:rPr>
                    <a:t> </a:t>
                  </a:r>
                </a:p>
              </xdr:txBody>
            </xdr:sp>
          </mc:Choice>
          <mc:Fallback xmlns="">
            <xdr:sp macro="" textlink="">
              <xdr:nvSpPr>
                <xdr:cNvPr id="366" name="CasellaDiTesto 60">
                  <a:extLst>
                    <a:ext uri="{FF2B5EF4-FFF2-40B4-BE49-F238E27FC236}">
                      <a16:creationId xmlns:a16="http://schemas.microsoft.com/office/drawing/2014/main" id="{353725F1-7F75-E927-BB99-54D8E8FF6D96}"/>
                    </a:ext>
                  </a:extLst>
                </xdr:cNvPr>
                <xdr:cNvSpPr txBox="1"/>
              </xdr:nvSpPr>
              <xdr:spPr>
                <a:xfrm>
                  <a:off x="26057757" y="23965797"/>
                  <a:ext cx="2186709" cy="1734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spAutoFit/>
                </a:bodyPr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it-IT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0: </a:t>
                  </a:r>
                  <a:r>
                    <a:rPr lang="it-IT" sz="1100" b="1" i="0">
                      <a:solidFill>
                        <a:srgbClr val="FF0000"/>
                      </a:solidFill>
                      <a:latin typeface="Cambria Math" panose="02040503050406030204" pitchFamily="18" charset="0"/>
                    </a:rPr>
                    <a:t>𝐑_𝐯𝐞</a:t>
                  </a:r>
                  <a:r>
                    <a:rPr lang="it-IT" sz="1100" b="1" i="0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</a:rPr>
                    <a:t>=</a:t>
                  </a:r>
                  <a:r>
                    <a:rPr lang="it-IT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〖𝐫′〗_(𝐯,𝐞𝐧𝐯,𝐩)</a:t>
                  </a:r>
                  <a:r>
                    <a:rPr lang="it-IT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a:t>∙</a:t>
                  </a:r>
                  <a:r>
                    <a:rPr lang="it-IT" sz="1100" b="1" i="0">
                      <a:solidFill>
                        <a:srgbClr val="FF0000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a:t>𝐄_𝐭𝐨𝐭</a:t>
                  </a:r>
                  <a:r>
                    <a:rPr lang="it-IT" sz="1100" b="0" i="0">
                      <a:solidFill>
                        <a:sysClr val="windowText" lastClr="000000"/>
                      </a:solidFill>
                    </a:rPr>
                    <a:t> </a:t>
                  </a:r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99" name="CasellaDiTesto 60">
                <a:extLst>
                  <a:ext uri="{FF2B5EF4-FFF2-40B4-BE49-F238E27FC236}">
                    <a16:creationId xmlns:a16="http://schemas.microsoft.com/office/drawing/2014/main" id="{0763F2ED-D5E4-4478-AA77-90CBA6EE4E4A}"/>
                  </a:ext>
                </a:extLst>
              </xdr:cNvPr>
              <xdr:cNvSpPr txBox="1"/>
            </xdr:nvSpPr>
            <xdr:spPr>
              <a:xfrm>
                <a:off x="23643438" y="26025786"/>
                <a:ext cx="1539173" cy="19146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it-IT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</m:t>
                      </m:r>
                      <m: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𝐑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𝐯𝐞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𝐚𝐥𝐥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_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𝐭𝐞𝐜𝐡</m:t>
                          </m:r>
                        </m:sub>
                      </m:sSub>
                      <m:r>
                        <a:rPr lang="it-IT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sub>
                      </m:sSub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𝐑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𝐯𝐞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</m:sub>
                      </m:sSub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𝐭𝐟</m:t>
                          </m:r>
                        </m:sub>
                      </m:sSub>
                    </m:oMath>
                  </m:oMathPara>
                </a14:m>
                <a:endParaRPr lang="it-IT" sz="1100" b="0" i="0">
                  <a:solidFill>
                    <a:sysClr val="windowText" lastClr="000000"/>
                  </a:solidFill>
                </a:endParaRPr>
              </a:p>
            </xdr:txBody>
          </xdr:sp>
        </mc:Choice>
        <mc:Fallback xmlns="">
          <xdr:sp macro="" textlink="">
            <xdr:nvSpPr>
              <xdr:cNvPr id="199" name="CasellaDiTesto 60">
                <a:extLst>
                  <a:ext uri="{FF2B5EF4-FFF2-40B4-BE49-F238E27FC236}">
                    <a16:creationId xmlns:a16="http://schemas.microsoft.com/office/drawing/2014/main" id="{0763F2ED-D5E4-4478-AA77-90CBA6EE4E4A}"/>
                  </a:ext>
                </a:extLst>
              </xdr:cNvPr>
              <xdr:cNvSpPr txBox="1"/>
            </xdr:nvSpPr>
            <xdr:spPr>
              <a:xfrm>
                <a:off x="23643438" y="26025786"/>
                <a:ext cx="1539173" cy="19146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𝐑_(𝐯𝐞,𝐚𝐥𝐥_𝐭𝐞𝐜𝐡)</a:t>
                </a:r>
                <a:r>
                  <a:rPr lang="it-IT" sz="1100" b="1" i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=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𝐢_𝐩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𝐑_(𝐯𝐞,𝐲)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𝐢_𝐭𝐟</a:t>
                </a:r>
                <a:endParaRPr lang="it-IT" sz="1100" b="0" i="0">
                  <a:solidFill>
                    <a:sysClr val="windowText" lastClr="000000"/>
                  </a:solidFill>
                </a:endParaRP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56" name="CasellaDiTesto 60">
                <a:extLst>
                  <a:ext uri="{FF2B5EF4-FFF2-40B4-BE49-F238E27FC236}">
                    <a16:creationId xmlns:a16="http://schemas.microsoft.com/office/drawing/2014/main" id="{01D6CE69-4262-4ADE-8257-3D2B0371BFF5}"/>
                  </a:ext>
                </a:extLst>
              </xdr:cNvPr>
              <xdr:cNvSpPr txBox="1"/>
            </xdr:nvSpPr>
            <xdr:spPr>
              <a:xfrm>
                <a:off x="23677072" y="26218684"/>
                <a:ext cx="2299017" cy="20001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</m:t>
                      </m:r>
                      <m: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𝐑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𝐯𝐮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𝐧𝐞𝐭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𝐭𝐨𝐭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 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𝐚𝐥𝐥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_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𝐭𝐞𝐜𝐡</m:t>
                          </m:r>
                        </m:sub>
                      </m:sSub>
                      <m:r>
                        <a:rPr lang="it-IT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𝐑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𝐯𝐮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𝐧𝐞𝐭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𝐭𝐨𝐭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</m:sub>
                      </m:sSub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𝐭𝐢</m:t>
                          </m:r>
                        </m:sub>
                      </m:sSub>
                    </m:oMath>
                  </m:oMathPara>
                </a14:m>
                <a:endParaRPr lang="it-IT" sz="1100" b="0" i="0">
                  <a:solidFill>
                    <a:sysClr val="windowText" lastClr="000000"/>
                  </a:solidFill>
                </a:endParaRPr>
              </a:p>
            </xdr:txBody>
          </xdr:sp>
        </mc:Choice>
        <mc:Fallback xmlns="">
          <xdr:sp macro="" textlink="">
            <xdr:nvSpPr>
              <xdr:cNvPr id="456" name="CasellaDiTesto 60">
                <a:extLst>
                  <a:ext uri="{FF2B5EF4-FFF2-40B4-BE49-F238E27FC236}">
                    <a16:creationId xmlns:a16="http://schemas.microsoft.com/office/drawing/2014/main" id="{01D6CE69-4262-4ADE-8257-3D2B0371BFF5}"/>
                  </a:ext>
                </a:extLst>
              </xdr:cNvPr>
              <xdr:cNvSpPr txBox="1"/>
            </xdr:nvSpPr>
            <xdr:spPr>
              <a:xfrm>
                <a:off x="23677072" y="26218684"/>
                <a:ext cx="2299017" cy="20001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𝐑_(𝐯𝐮,𝐧𝐞𝐭,𝐭𝐨𝐭, 𝐚𝐥𝐥_𝐭𝐞𝐜𝐡)</a:t>
                </a:r>
                <a:r>
                  <a:rPr lang="it-IT" sz="1100" b="1" i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=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𝐑_(𝐯𝐮,𝐧𝐞𝐭,𝐭𝐨𝐭,𝐲)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𝐢_𝐭𝐢</a:t>
                </a:r>
                <a:endParaRPr lang="it-IT" sz="1100" b="0" i="0">
                  <a:solidFill>
                    <a:sysClr val="windowText" lastClr="000000"/>
                  </a:solidFill>
                </a:endParaRPr>
              </a:p>
            </xdr:txBody>
          </xdr:sp>
        </mc:Fallback>
      </mc:AlternateContent>
    </xdr:grpSp>
    <xdr:clientData/>
  </xdr:twoCellAnchor>
  <xdr:twoCellAnchor>
    <xdr:from>
      <xdr:col>54</xdr:col>
      <xdr:colOff>33887</xdr:colOff>
      <xdr:row>176</xdr:row>
      <xdr:rowOff>5510</xdr:rowOff>
    </xdr:from>
    <xdr:to>
      <xdr:col>61</xdr:col>
      <xdr:colOff>129609</xdr:colOff>
      <xdr:row>179</xdr:row>
      <xdr:rowOff>108119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0" name="TextBox 457">
              <a:extLst>
                <a:ext uri="{FF2B5EF4-FFF2-40B4-BE49-F238E27FC236}">
                  <a16:creationId xmlns:a16="http://schemas.microsoft.com/office/drawing/2014/main" id="{A2E1A5CE-F68E-4F3E-8090-9DDDE4BD3275}"/>
                </a:ext>
              </a:extLst>
            </xdr:cNvPr>
            <xdr:cNvSpPr txBox="1"/>
          </xdr:nvSpPr>
          <xdr:spPr>
            <a:xfrm>
              <a:off x="23593511" y="27830311"/>
              <a:ext cx="2986939" cy="5830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0: 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𝐗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𝐡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𝐜𝐚𝐩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𝐧𝐬𝐭</m:t>
                        </m:r>
                      </m:sub>
                    </m:sSub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≥(</m:t>
                    </m:r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𝐚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𝐯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𝐡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𝐦𝐢𝐧</m:t>
                        </m:r>
                      </m:sub>
                    </m:sSub>
                    <m:r>
                      <a:rPr lang="it-IT" sz="11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>
                      <a:rPr lang="it-IT" sz="11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𝐜𝐚𝐩</m:t>
                    </m:r>
                    <m:r>
                      <a:rPr lang="it-IT" sz="11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_</m:t>
                    </m:r>
                    <m:r>
                      <a:rPr lang="it-IT" sz="11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𝐭𝐨</m:t>
                    </m:r>
                    <m:r>
                      <a:rPr lang="it-IT" sz="11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_</m:t>
                    </m:r>
                    <m:r>
                      <a:rPr lang="it-IT" sz="11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𝐚𝐜</m:t>
                    </m:r>
                    <m:sSub>
                      <m:sSubPr>
                        <m:ctrlPr>
                          <a:rPr lang="it-IT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𝐭</m:t>
                        </m:r>
                      </m:e>
                      <m:sub>
                        <m:r>
                          <a:rPr lang="it-IT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𝐡</m:t>
                        </m:r>
                      </m:sub>
                    </m:sSub>
                    <m:r>
                      <a:rPr lang="it-IT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𝐂𝐚𝐩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𝐨𝐩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 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𝐡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𝐧𝐬𝐭</m:t>
                        </m:r>
                      </m:sub>
                    </m:sSub>
                  </m:oMath>
                </m:oMathPara>
              </a14:m>
              <a:endParaRPr lang="it-IT" sz="1100" b="1" i="0" kern="1200"/>
            </a:p>
          </xdr:txBody>
        </xdr:sp>
      </mc:Choice>
      <mc:Fallback xmlns="">
        <xdr:sp macro="" textlink="">
          <xdr:nvSpPr>
            <xdr:cNvPr id="458" name="TextBox 457">
              <a:extLst>
                <a:ext uri="{FF2B5EF4-FFF2-40B4-BE49-F238E27FC236}">
                  <a16:creationId xmlns:a16="http://schemas.microsoft.com/office/drawing/2014/main" id="{A2E1A5CE-F68E-4F3E-8090-9DDDE4BD3275}"/>
                </a:ext>
              </a:extLst>
            </xdr:cNvPr>
            <xdr:cNvSpPr txBox="1"/>
          </xdr:nvSpPr>
          <xdr:spPr>
            <a:xfrm>
              <a:off x="23593511" y="27830311"/>
              <a:ext cx="2986939" cy="5830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algn="l"/>
              <a:r>
                <a:rPr lang="it-I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0: </a:t>
              </a:r>
              <a:r>
                <a:rPr lang="it-IT" sz="1100" b="1" i="0" kern="1200">
                  <a:latin typeface="Cambria Math" panose="02040503050406030204" pitchFamily="18" charset="0"/>
                </a:rPr>
                <a:t>𝐗_(𝐡,𝐜𝐚𝐩,𝐧𝐬𝐭)≥(𝐚𝐯_(𝐡,𝐦𝐢𝐧)</a:t>
              </a:r>
              <a:r>
                <a:rPr lang="it-IT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⋅</a:t>
              </a:r>
              <a:r>
                <a:rPr lang="it-IT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𝐜𝐚𝐩_𝐭𝐨_𝐚𝐜𝐭_𝐡)</a:t>
              </a:r>
              <a:r>
                <a:rPr lang="it-IT" sz="1100" b="1" i="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〖𝐂𝐚𝐩〗_(𝐨𝐩, 𝐡</a:t>
              </a:r>
              <a:r>
                <a:rPr lang="it-IT" sz="11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,𝐧𝐬𝐭</a:t>
              </a:r>
              <a:r>
                <a:rPr lang="it-IT" sz="1100" b="1" i="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it-IT" sz="1100" b="1" i="0" kern="1200"/>
            </a:p>
          </xdr:txBody>
        </xdr:sp>
      </mc:Fallback>
    </mc:AlternateContent>
    <xdr:clientData/>
  </xdr:twoCellAnchor>
  <xdr:twoCellAnchor>
    <xdr:from>
      <xdr:col>54</xdr:col>
      <xdr:colOff>92747</xdr:colOff>
      <xdr:row>179</xdr:row>
      <xdr:rowOff>158281</xdr:rowOff>
    </xdr:from>
    <xdr:to>
      <xdr:col>61</xdr:col>
      <xdr:colOff>45321</xdr:colOff>
      <xdr:row>181</xdr:row>
      <xdr:rowOff>61321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2" name="TextBox 458">
              <a:extLst>
                <a:ext uri="{FF2B5EF4-FFF2-40B4-BE49-F238E27FC236}">
                  <a16:creationId xmlns:a16="http://schemas.microsoft.com/office/drawing/2014/main" id="{DDCD0902-7C38-4EFC-B522-D67CC243B66A}"/>
                </a:ext>
              </a:extLst>
            </xdr:cNvPr>
            <xdr:cNvSpPr txBox="1"/>
          </xdr:nvSpPr>
          <xdr:spPr>
            <a:xfrm>
              <a:off x="23652371" y="28463546"/>
              <a:ext cx="2843791" cy="2233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it-IT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0: 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𝐗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𝐲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  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𝐜𝐚𝐩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𝐧𝐬𝐭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≥</m:t>
                    </m:r>
                    <m:sSub>
                      <m:sSubPr>
                        <m:ctrlPr>
                          <a:rPr lang="it-IT" sz="1100" b="1" i="1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𝐂𝐚𝐩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𝐨𝐩</m:t>
                        </m:r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𝐧𝐬𝐭</m:t>
                        </m:r>
                      </m:sub>
                    </m:sSub>
                    <m:r>
                      <a:rPr lang="it-IT" sz="1100" b="0" i="1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(</m:t>
                    </m:r>
                    <m:r>
                      <a:rPr lang="it-IT" sz="1100" b="1" i="0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𝐚</m:t>
                    </m:r>
                    <m:sSub>
                      <m:sSubPr>
                        <m:ctrlPr>
                          <a:rPr lang="it-IT" sz="1100" b="1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𝐯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𝐲</m:t>
                        </m:r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𝐦𝐢𝐧</m:t>
                        </m:r>
                      </m:sub>
                    </m:sSub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⋅</m:t>
                    </m:r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𝐜𝐚𝐩</m:t>
                    </m:r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_</m:t>
                    </m:r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𝐭𝐨</m:t>
                    </m:r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_</m:t>
                    </m:r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𝐚𝐜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𝐭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𝐲</m:t>
                        </m:r>
                      </m:sub>
                    </m:sSub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it-IT" sz="1100" b="1" i="0" kern="1200"/>
            </a:p>
          </xdr:txBody>
        </xdr:sp>
      </mc:Choice>
      <mc:Fallback xmlns="">
        <xdr:sp macro="" textlink="">
          <xdr:nvSpPr>
            <xdr:cNvPr id="459" name="TextBox 458">
              <a:extLst>
                <a:ext uri="{FF2B5EF4-FFF2-40B4-BE49-F238E27FC236}">
                  <a16:creationId xmlns:a16="http://schemas.microsoft.com/office/drawing/2014/main" id="{DDCD0902-7C38-4EFC-B522-D67CC243B66A}"/>
                </a:ext>
              </a:extLst>
            </xdr:cNvPr>
            <xdr:cNvSpPr txBox="1"/>
          </xdr:nvSpPr>
          <xdr:spPr>
            <a:xfrm>
              <a:off x="23652371" y="28463546"/>
              <a:ext cx="2843791" cy="2233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algn="l"/>
              <a:r>
                <a:rPr lang="it-I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0: </a:t>
              </a:r>
              <a:r>
                <a:rPr lang="it-IT" sz="1100" b="1" i="0" kern="1200">
                  <a:latin typeface="Cambria Math" panose="02040503050406030204" pitchFamily="18" charset="0"/>
                </a:rPr>
                <a:t>𝐗_(𝐲,  𝐜𝐚𝐩,𝐧𝐬𝐭 )≥</a:t>
              </a:r>
              <a:r>
                <a:rPr lang="it-IT" sz="1100" b="1" i="0" kern="1200">
                  <a:solidFill>
                    <a:srgbClr val="FF0000"/>
                  </a:solidFill>
                  <a:latin typeface="Cambria Math" panose="02040503050406030204" pitchFamily="18" charset="0"/>
                </a:rPr>
                <a:t>〖𝐂𝐚𝐩〗_(𝐨𝐩,𝐧𝐬𝐭)</a:t>
              </a:r>
              <a:r>
                <a:rPr lang="it-IT" sz="1100" b="0" i="0" kern="1200">
                  <a:solidFill>
                    <a:schemeClr val="tx1"/>
                  </a:solidFill>
                  <a:latin typeface="Cambria Math" panose="02040503050406030204" pitchFamily="18" charset="0"/>
                </a:rPr>
                <a:t> (</a:t>
              </a:r>
              <a:r>
                <a:rPr lang="it-IT" sz="1100" b="1" i="0" kern="1200">
                  <a:solidFill>
                    <a:schemeClr val="tx1"/>
                  </a:solidFill>
                  <a:latin typeface="Cambria Math" panose="02040503050406030204" pitchFamily="18" charset="0"/>
                </a:rPr>
                <a:t>𝐚𝐯_(𝐲,𝐦𝐢𝐧)</a:t>
              </a:r>
              <a:r>
                <a:rPr lang="it-IT" sz="1100" b="1" i="0" kern="1200">
                  <a:latin typeface="Cambria Math" panose="02040503050406030204" pitchFamily="18" charset="0"/>
                </a:rPr>
                <a:t>⋅𝐜𝐚𝐩_𝐭𝐨_𝐚𝐜𝐭_𝐲)</a:t>
              </a:r>
              <a:endParaRPr lang="it-IT" sz="1100" b="1" i="0" kern="1200"/>
            </a:p>
          </xdr:txBody>
        </xdr:sp>
      </mc:Fallback>
    </mc:AlternateContent>
    <xdr:clientData/>
  </xdr:twoCellAnchor>
  <xdr:twoCellAnchor>
    <xdr:from>
      <xdr:col>53</xdr:col>
      <xdr:colOff>210478</xdr:colOff>
      <xdr:row>228</xdr:row>
      <xdr:rowOff>103651</xdr:rowOff>
    </xdr:from>
    <xdr:to>
      <xdr:col>69</xdr:col>
      <xdr:colOff>27872</xdr:colOff>
      <xdr:row>255</xdr:row>
      <xdr:rowOff>102082</xdr:rowOff>
    </xdr:to>
    <xdr:grpSp>
      <xdr:nvGrpSpPr>
        <xdr:cNvPr id="552" name="Group 551">
          <a:extLst>
            <a:ext uri="{FF2B5EF4-FFF2-40B4-BE49-F238E27FC236}">
              <a16:creationId xmlns:a16="http://schemas.microsoft.com/office/drawing/2014/main" id="{A84DFDB2-C8E0-BA7B-803A-57DD4F351935}"/>
            </a:ext>
          </a:extLst>
        </xdr:cNvPr>
        <xdr:cNvGrpSpPr/>
      </xdr:nvGrpSpPr>
      <xdr:grpSpPr>
        <a:xfrm>
          <a:off x="23133978" y="38362401"/>
          <a:ext cx="6503944" cy="4456131"/>
          <a:chOff x="23213353" y="37651201"/>
          <a:chExt cx="6551569" cy="4370406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79" name="TextBox 220">
                <a:extLst>
                  <a:ext uri="{FF2B5EF4-FFF2-40B4-BE49-F238E27FC236}">
                    <a16:creationId xmlns:a16="http://schemas.microsoft.com/office/drawing/2014/main" id="{8C677B94-1A02-4208-8DA9-D0E670ACAF31}"/>
                  </a:ext>
                </a:extLst>
              </xdr:cNvPr>
              <xdr:cNvSpPr txBox="1"/>
            </xdr:nvSpPr>
            <xdr:spPr>
              <a:xfrm>
                <a:off x="23442306" y="37651201"/>
                <a:ext cx="1511175" cy="22266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 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𝐜𝐚𝐩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𝐜𝐚𝐩</m:t>
                          </m:r>
                        </m:sub>
                      </m:sSub>
                      <m: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∙</m:t>
                      </m:r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𝐂𝐚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e>
                        <m:sub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𝐧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𝐟𝐢</m:t>
                              </m:r>
                            </m:sub>
                          </m:sSub>
                        </m:sub>
                      </m:sSub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79" name="TextBox 220">
                <a:extLst>
                  <a:ext uri="{FF2B5EF4-FFF2-40B4-BE49-F238E27FC236}">
                    <a16:creationId xmlns:a16="http://schemas.microsoft.com/office/drawing/2014/main" id="{8C677B94-1A02-4208-8DA9-D0E670ACAF31}"/>
                  </a:ext>
                </a:extLst>
              </xdr:cNvPr>
              <xdr:cNvSpPr txBox="1"/>
            </xdr:nvSpPr>
            <xdr:spPr>
              <a:xfrm>
                <a:off x="23442306" y="37651201"/>
                <a:ext cx="1511175" cy="22266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 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𝐂_𝐜𝐚𝐩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=𝐜_𝐜𝐚𝐩∙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𝐂𝐚𝐩_(𝐧_𝐟𝐢 )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78" name="TextBox 221">
                <a:extLst>
                  <a:ext uri="{FF2B5EF4-FFF2-40B4-BE49-F238E27FC236}">
                    <a16:creationId xmlns:a16="http://schemas.microsoft.com/office/drawing/2014/main" id="{AB77AFCE-64BF-46A4-90D5-C0C2E0C6214D}"/>
                  </a:ext>
                </a:extLst>
              </xdr:cNvPr>
              <xdr:cNvSpPr txBox="1"/>
            </xdr:nvSpPr>
            <xdr:spPr>
              <a:xfrm>
                <a:off x="23213353" y="37898059"/>
                <a:ext cx="3991716" cy="49723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 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𝐜𝐚𝐩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𝐝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𝐜𝐚𝐩</m:t>
                          </m:r>
                        </m:sub>
                      </m:sSub>
                      <m: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∙</m:t>
                      </m:r>
                      <m:r>
                        <m:rPr>
                          <m:sty m:val="p"/>
                        </m:rP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annuity</m:t>
                      </m:r>
                      <m: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m:rPr>
                          <m:sty m:val="p"/>
                        </m:rP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p</m:t>
                      </m:r>
                      <m:sSub>
                        <m:sSubPr>
                          <m:ctrlPr>
                            <a:rPr lang="it-IT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m:rPr>
                              <m:sty m:val="p"/>
                            </m:rP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l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y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𝐥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𝐟</m:t>
                          </m:r>
                        </m:sub>
                      </m:sSub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𝐞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𝐫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sub>
                      </m:sSub>
                      <m:r>
                        <a:rPr lang="it-IT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)′</m:t>
                      </m:r>
                      <m: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∙</m:t>
                      </m:r>
                      <m:f>
                        <m:fPr>
                          <m:ctrlPr>
                            <a:rPr lang="it-IT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1</m:t>
                          </m:r>
                        </m:num>
                        <m:den>
                          <m:sSup>
                            <m:sSupPr>
                              <m:ctrlPr>
                                <a:rPr lang="it-IT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d>
                                <m:dPr>
                                  <m:ctrlPr>
                                    <a:rPr lang="it-IT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dPr>
                                <m:e>
                                  <m:r>
                                    <a:rPr lang="it-IT" sz="11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1+</m:t>
                                  </m:r>
                                  <m:r>
                                    <a:rPr lang="it-IT" sz="1100" b="1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𝐞</m:t>
                                  </m:r>
                                  <m:sSub>
                                    <m:sSubPr>
                                      <m:ctrlPr>
                                        <a:rPr lang="it-IT" sz="1100" b="1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it-IT" sz="1100" b="1" i="0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𝐫</m:t>
                                      </m:r>
                                    </m:e>
                                    <m:sub>
                                      <m:r>
                                        <a:rPr lang="it-IT" sz="1100" b="1" i="0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𝐝</m:t>
                                      </m:r>
                                      <m:r>
                                        <a:rPr lang="it-IT" sz="1100" b="1" i="0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,</m:t>
                                      </m:r>
                                      <m:r>
                                        <a:rPr lang="it-IT" sz="1100" b="1" i="0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𝐲</m:t>
                                      </m:r>
                                    </m:sub>
                                  </m:sSub>
                                </m:e>
                              </m:d>
                            </m:e>
                            <m:sup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𝐩</m:t>
                              </m:r>
                              <m:sSub>
                                <m:sSubPr>
                                  <m:ctrlPr>
                                    <a:rPr lang="it-IT" sz="1100" b="1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it-IT" sz="1100" b="1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𝐫</m:t>
                                  </m:r>
                                </m:e>
                                <m:sub>
                                  <m:r>
                                    <a:rPr lang="it-IT" sz="1100" b="1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𝐲</m:t>
                                  </m:r>
                                  <m:r>
                                    <a:rPr lang="it-IT" sz="1100" b="1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,</m:t>
                                  </m:r>
                                  <m:r>
                                    <a:rPr lang="it-IT" sz="1100" b="1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𝐲</m:t>
                                  </m:r>
                                </m:sub>
                              </m:sSub>
                              <m:r>
                                <a:rPr lang="it-IT" sz="11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−1</m:t>
                              </m:r>
                            </m:sup>
                          </m:sSup>
                        </m:den>
                      </m:f>
                    </m:oMath>
                  </m:oMathPara>
                </a14:m>
                <a:endParaRPr lang="it-IT" sz="1100" b="0" i="0" kern="1200"/>
              </a:p>
            </xdr:txBody>
          </xdr:sp>
        </mc:Choice>
        <mc:Fallback xmlns="">
          <xdr:sp macro="" textlink="">
            <xdr:nvSpPr>
              <xdr:cNvPr id="478" name="TextBox 221">
                <a:extLst>
                  <a:ext uri="{FF2B5EF4-FFF2-40B4-BE49-F238E27FC236}">
                    <a16:creationId xmlns:a16="http://schemas.microsoft.com/office/drawing/2014/main" id="{AB77AFCE-64BF-46A4-90D5-C0C2E0C6214D}"/>
                  </a:ext>
                </a:extLst>
              </xdr:cNvPr>
              <xdr:cNvSpPr txBox="1"/>
            </xdr:nvSpPr>
            <xdr:spPr>
              <a:xfrm>
                <a:off x="23213353" y="37898059"/>
                <a:ext cx="3991716" cy="49723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 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𝐂_(𝐜𝐚𝐩,𝐝)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=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𝐂_𝐜𝐚𝐩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∙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annuity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(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pl_y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,𝐥𝐭_𝐟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,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𝐞𝐫_𝐢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)′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∙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1/(1+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𝐞𝐫_(𝐝,𝐲)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)^(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𝐩𝐫_(𝐲,𝐲)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−1) </a:t>
                </a:r>
                <a:endParaRPr lang="it-IT" sz="1100" b="0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77" name="TextBox 222">
                <a:extLst>
                  <a:ext uri="{FF2B5EF4-FFF2-40B4-BE49-F238E27FC236}">
                    <a16:creationId xmlns:a16="http://schemas.microsoft.com/office/drawing/2014/main" id="{ED9DE2F3-A247-4366-A466-AA4E38132D8F}"/>
                  </a:ext>
                </a:extLst>
              </xdr:cNvPr>
              <xdr:cNvSpPr txBox="1"/>
            </xdr:nvSpPr>
            <xdr:spPr>
              <a:xfrm>
                <a:off x="23383013" y="38292944"/>
                <a:ext cx="1504467" cy="21681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 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𝐫𝐮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𝐫𝐮</m:t>
                          </m:r>
                        </m:sub>
                      </m:sSub>
                      <m: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∙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𝐑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𝐮</m:t>
                              </m:r>
                            </m:sub>
                          </m:sSub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𝐭𝐞𝐜𝐡</m:t>
                          </m:r>
                        </m:sub>
                      </m:sSub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77" name="TextBox 222">
                <a:extLst>
                  <a:ext uri="{FF2B5EF4-FFF2-40B4-BE49-F238E27FC236}">
                    <a16:creationId xmlns:a16="http://schemas.microsoft.com/office/drawing/2014/main" id="{ED9DE2F3-A247-4366-A466-AA4E38132D8F}"/>
                  </a:ext>
                </a:extLst>
              </xdr:cNvPr>
              <xdr:cNvSpPr txBox="1"/>
            </xdr:nvSpPr>
            <xdr:spPr>
              <a:xfrm>
                <a:off x="23383013" y="38292944"/>
                <a:ext cx="1504467" cy="21681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 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𝐂_𝐫𝐮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=𝐜_𝐫𝐮∙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〖𝐑_𝐮〗_𝐭𝐞𝐜𝐡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76" name="TextBox 226">
                <a:extLst>
                  <a:ext uri="{FF2B5EF4-FFF2-40B4-BE49-F238E27FC236}">
                    <a16:creationId xmlns:a16="http://schemas.microsoft.com/office/drawing/2014/main" id="{A59BD092-4394-4592-B1B6-86BF22746BB6}"/>
                  </a:ext>
                </a:extLst>
              </xdr:cNvPr>
              <xdr:cNvSpPr txBox="1"/>
            </xdr:nvSpPr>
            <xdr:spPr>
              <a:xfrm>
                <a:off x="23461197" y="38624258"/>
                <a:ext cx="1512463" cy="2291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 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𝐫𝐯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𝐫𝐯</m:t>
                          </m:r>
                        </m:sub>
                      </m:sSub>
                      <m: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∙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𝐑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𝐯𝐮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𝐧𝐞𝐭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𝐭𝐨𝐭</m:t>
                          </m:r>
                        </m:sub>
                      </m:sSub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76" name="TextBox 226">
                <a:extLst>
                  <a:ext uri="{FF2B5EF4-FFF2-40B4-BE49-F238E27FC236}">
                    <a16:creationId xmlns:a16="http://schemas.microsoft.com/office/drawing/2014/main" id="{A59BD092-4394-4592-B1B6-86BF22746BB6}"/>
                  </a:ext>
                </a:extLst>
              </xdr:cNvPr>
              <xdr:cNvSpPr txBox="1"/>
            </xdr:nvSpPr>
            <xdr:spPr>
              <a:xfrm>
                <a:off x="23461197" y="38624258"/>
                <a:ext cx="1512463" cy="2291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 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𝐂_𝐫𝐯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=𝐜_𝐫𝐯∙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𝐑_(𝐯𝐮,𝐧𝐞𝐭,𝐭𝐨𝐭)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81" name="TextBox 230">
                <a:extLst>
                  <a:ext uri="{FF2B5EF4-FFF2-40B4-BE49-F238E27FC236}">
                    <a16:creationId xmlns:a16="http://schemas.microsoft.com/office/drawing/2014/main" id="{A87D74EF-9CAE-4AA7-A627-8803809231AC}"/>
                  </a:ext>
                </a:extLst>
              </xdr:cNvPr>
              <xdr:cNvSpPr txBox="1"/>
            </xdr:nvSpPr>
            <xdr:spPr>
              <a:xfrm>
                <a:off x="23403664" y="39263320"/>
                <a:ext cx="1494919" cy="23753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 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𝐫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𝐝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𝐭𝐨𝐭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𝐩𝐞</m:t>
                          </m:r>
                        </m:sub>
                      </m:sSub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𝐫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𝐝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𝐩𝐞</m:t>
                              </m:r>
                            </m:sub>
                          </m:sSub>
                        </m:sub>
                      </m:sSub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81" name="TextBox 230">
                <a:extLst>
                  <a:ext uri="{FF2B5EF4-FFF2-40B4-BE49-F238E27FC236}">
                    <a16:creationId xmlns:a16="http://schemas.microsoft.com/office/drawing/2014/main" id="{A87D74EF-9CAE-4AA7-A627-8803809231AC}"/>
                  </a:ext>
                </a:extLst>
              </xdr:cNvPr>
              <xdr:cNvSpPr txBox="1"/>
            </xdr:nvSpPr>
            <xdr:spPr>
              <a:xfrm>
                <a:off x="23403664" y="39263320"/>
                <a:ext cx="1494919" cy="23753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 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𝐂_(𝐫,𝐝,𝐭𝐨𝐭)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=𝐢_𝐩𝐞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𝐂_(𝐫,𝐝_𝐩𝐞 )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80" name="TextBox 137">
                <a:extLst>
                  <a:ext uri="{FF2B5EF4-FFF2-40B4-BE49-F238E27FC236}">
                    <a16:creationId xmlns:a16="http://schemas.microsoft.com/office/drawing/2014/main" id="{FDAEEF24-BDC4-4CBD-AF04-E18E26335813}"/>
                  </a:ext>
                </a:extLst>
              </xdr:cNvPr>
              <xdr:cNvSpPr txBox="1"/>
            </xdr:nvSpPr>
            <xdr:spPr>
              <a:xfrm>
                <a:off x="23412307" y="38843209"/>
                <a:ext cx="1914835" cy="45696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 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𝐫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𝐝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𝐫</m:t>
                          </m:r>
                        </m:sub>
                      </m:sSub>
                      <m: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∙</m:t>
                      </m:r>
                      <m:f>
                        <m:fPr>
                          <m:ctrlPr>
                            <a:rPr lang="it-IT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1</m:t>
                          </m:r>
                        </m:num>
                        <m:den>
                          <m:sSup>
                            <m:sSupPr>
                              <m:ctrlPr>
                                <a:rPr lang="it-IT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d>
                                <m:dPr>
                                  <m:ctrlPr>
                                    <a:rPr lang="it-IT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dPr>
                                <m:e>
                                  <m:r>
                                    <a:rPr lang="it-IT" sz="11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1+</m:t>
                                  </m:r>
                                  <m:r>
                                    <a:rPr lang="it-IT" sz="1100" b="1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𝐞</m:t>
                                  </m:r>
                                  <m:sSub>
                                    <m:sSubPr>
                                      <m:ctrlPr>
                                        <a:rPr lang="it-IT" sz="1100" b="1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it-IT" sz="1100" b="1" i="0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𝐫</m:t>
                                      </m:r>
                                    </m:e>
                                    <m:sub>
                                      <m:r>
                                        <a:rPr lang="it-IT" sz="1100" b="1" i="0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𝐝</m:t>
                                      </m:r>
                                    </m:sub>
                                  </m:sSub>
                                </m:e>
                              </m:d>
                            </m:e>
                            <m:sup>
                              <m:sSub>
                                <m:sSubPr>
                                  <m:ctrlPr>
                                    <a:rPr lang="it-IT" sz="1100" b="1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it-IT" sz="1100" b="1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𝐩𝐫</m:t>
                                  </m:r>
                                </m:e>
                                <m:sub>
                                  <m:r>
                                    <a:rPr lang="it-IT" sz="1100" b="1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𝐲</m:t>
                                  </m:r>
                                </m:sub>
                              </m:sSub>
                              <m:r>
                                <a:rPr lang="it-IT" sz="11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−1</m:t>
                              </m:r>
                            </m:sup>
                          </m:sSup>
                        </m:den>
                      </m:f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80" name="TextBox 137">
                <a:extLst>
                  <a:ext uri="{FF2B5EF4-FFF2-40B4-BE49-F238E27FC236}">
                    <a16:creationId xmlns:a16="http://schemas.microsoft.com/office/drawing/2014/main" id="{FDAEEF24-BDC4-4CBD-AF04-E18E26335813}"/>
                  </a:ext>
                </a:extLst>
              </xdr:cNvPr>
              <xdr:cNvSpPr txBox="1"/>
            </xdr:nvSpPr>
            <xdr:spPr>
              <a:xfrm>
                <a:off x="23412307" y="38843209"/>
                <a:ext cx="1914835" cy="45696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 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𝐂_(𝐫,𝐝)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=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𝐂_𝐫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∙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1/(1+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𝐞𝐫_𝐝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)^(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〖𝐩𝐫〗_𝐲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−1) 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533" name="TextBox 205">
                <a:extLst>
                  <a:ext uri="{FF2B5EF4-FFF2-40B4-BE49-F238E27FC236}">
                    <a16:creationId xmlns:a16="http://schemas.microsoft.com/office/drawing/2014/main" id="{F3469443-9A79-492F-9E17-51C22BC22134}"/>
                  </a:ext>
                </a:extLst>
              </xdr:cNvPr>
              <xdr:cNvSpPr txBox="1"/>
            </xdr:nvSpPr>
            <xdr:spPr>
              <a:xfrm>
                <a:off x="23602435" y="41767916"/>
                <a:ext cx="6162487" cy="25369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 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𝐭𝐨𝐭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𝐭𝐢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𝐜𝐚𝐩</m:t>
                          </m:r>
                        </m:sub>
                      </m:sSub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𝐜𝐚𝐩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𝐝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𝐭</m:t>
                              </m:r>
                            </m:sub>
                          </m:sSub>
                        </m:sub>
                      </m:sSub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𝐜𝐚𝐩</m:t>
                          </m:r>
                        </m:sub>
                      </m:sSub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𝐭𝐢</m:t>
                          </m:r>
                        </m:sub>
                      </m:sSub>
                      <m:r>
                        <a:rPr lang="it-IT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′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𝐫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𝐝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𝐭𝐨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𝐭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𝐭</m:t>
                              </m:r>
                            </m:sub>
                          </m:sSub>
                        </m:sub>
                      </m:sSub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𝐞𝐧𝐯</m:t>
                          </m:r>
                        </m:sub>
                      </m:sSub>
                      <m:r>
                        <a:rPr lang="it-IT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𝐯𝐚𝐫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𝐨𝐩</m:t>
                          </m:r>
                        </m:sub>
                      </m:sSub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𝐯𝐚𝐫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𝐨𝐩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𝐝</m:t>
                          </m:r>
                        </m:sub>
                      </m:sSub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𝐭𝐢</m:t>
                          </m:r>
                        </m:sub>
                      </m:sSub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𝐭𝐢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𝐜𝐚𝐩</m:t>
                          </m:r>
                        </m:sub>
                      </m:sSub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𝐟𝐢𝐱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𝐨𝐩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𝐝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𝐭</m:t>
                              </m:r>
                            </m:sub>
                          </m:sSub>
                        </m:sub>
                      </m:sSub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𝐢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𝐜</m:t>
                              </m:r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,</m:t>
                              </m:r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𝐟𝐢𝐱</m:t>
                              </m:r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,</m:t>
                              </m:r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𝐨𝐩</m:t>
                              </m:r>
                            </m:sub>
                          </m:sSub>
                          <m: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+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</m:t>
                          </m:r>
                        </m:sub>
                      </m:sSub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𝐏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𝐭𝐨𝐭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𝐝</m:t>
                          </m:r>
                        </m:sub>
                      </m:sSub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533" name="TextBox 205">
                <a:extLst>
                  <a:ext uri="{FF2B5EF4-FFF2-40B4-BE49-F238E27FC236}">
                    <a16:creationId xmlns:a16="http://schemas.microsoft.com/office/drawing/2014/main" id="{F3469443-9A79-492F-9E17-51C22BC22134}"/>
                  </a:ext>
                </a:extLst>
              </xdr:cNvPr>
              <xdr:cNvSpPr txBox="1"/>
            </xdr:nvSpPr>
            <xdr:spPr>
              <a:xfrm>
                <a:off x="23602435" y="41767916"/>
                <a:ext cx="6162487" cy="25369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 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𝐂_𝐭𝐨𝐭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=𝐢_(𝐭𝐢,𝐜𝐚𝐩)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𝐂_(𝐜𝐚𝐩,𝐝_𝐭 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𝐢_(𝐜,𝐜𝐚𝐩)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+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𝐢_𝐭𝐢′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𝐂_(𝐫,𝐝,𝐭𝐨𝐭_𝐭 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𝐢_(𝐜,𝐞𝐧𝐯)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+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𝐢_(𝐜,𝐯𝐚𝐫,𝐨𝐩)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𝐂_(𝐯𝐚𝐫,𝐨𝐩,𝐝)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𝐢_𝐭𝐢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+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𝐢_(𝐭𝐢,𝐜𝐚𝐩)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𝐂_(𝐟𝐢𝐱,𝐨𝐩,𝐝_𝐭 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〖𝐢_(𝐜,𝐟𝐢𝐱,𝐨𝐩)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+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𝐢〗_(𝐩,𝐦)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𝐏_(𝐦,𝐭𝐨𝐭,𝐝)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87" name="TextBox 265">
                <a:extLst>
                  <a:ext uri="{FF2B5EF4-FFF2-40B4-BE49-F238E27FC236}">
                    <a16:creationId xmlns:a16="http://schemas.microsoft.com/office/drawing/2014/main" id="{697A45E0-B4EB-471E-B11C-8704EBCB3CDD}"/>
                  </a:ext>
                </a:extLst>
              </xdr:cNvPr>
              <xdr:cNvSpPr txBox="1"/>
            </xdr:nvSpPr>
            <xdr:spPr>
              <a:xfrm>
                <a:off x="23390946" y="40786499"/>
                <a:ext cx="1514819" cy="24469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 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𝐏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∙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𝐦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acc>
                            <m:accPr>
                              <m:chr m:val="̂"/>
                              <m:ctrlPr>
                                <a:rPr lang="it-IT" sz="1100" b="1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accPr>
                            <m:e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𝐐</m:t>
                              </m:r>
                            </m:e>
                          </m:acc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</m:sub>
                      </m:sSub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87" name="TextBox 265">
                <a:extLst>
                  <a:ext uri="{FF2B5EF4-FFF2-40B4-BE49-F238E27FC236}">
                    <a16:creationId xmlns:a16="http://schemas.microsoft.com/office/drawing/2014/main" id="{697A45E0-B4EB-471E-B11C-8704EBCB3CDD}"/>
                  </a:ext>
                </a:extLst>
              </xdr:cNvPr>
              <xdr:cNvSpPr txBox="1"/>
            </xdr:nvSpPr>
            <xdr:spPr>
              <a:xfrm>
                <a:off x="23390946" y="40786499"/>
                <a:ext cx="1514819" cy="24469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 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𝐏_𝐦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=𝐩_𝐦∙𝐦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𝐐 ̂_𝐲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511" name="TextBox 267">
                <a:extLst>
                  <a:ext uri="{FF2B5EF4-FFF2-40B4-BE49-F238E27FC236}">
                    <a16:creationId xmlns:a16="http://schemas.microsoft.com/office/drawing/2014/main" id="{AD0EF075-CF5A-406E-8384-2FCF4FE7E305}"/>
                  </a:ext>
                </a:extLst>
              </xdr:cNvPr>
              <xdr:cNvSpPr txBox="1"/>
            </xdr:nvSpPr>
            <xdr:spPr>
              <a:xfrm>
                <a:off x="23546567" y="39735125"/>
                <a:ext cx="2040733" cy="43822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 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𝐯𝐚𝐫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𝐨𝐩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𝐝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𝐯𝐚𝐫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𝐨𝐩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∙</m:t>
                      </m:r>
                      <m:f>
                        <m:fPr>
                          <m:ctrlPr>
                            <a:rPr lang="it-IT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1</m:t>
                          </m:r>
                        </m:num>
                        <m:den>
                          <m:sSup>
                            <m:sSupPr>
                              <m:ctrlPr>
                                <a:rPr lang="it-IT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d>
                                <m:dPr>
                                  <m:ctrlPr>
                                    <a:rPr lang="it-IT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dPr>
                                <m:e>
                                  <m:r>
                                    <a:rPr lang="it-IT" sz="11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1+</m:t>
                                  </m:r>
                                  <m:r>
                                    <a:rPr lang="it-IT" sz="1100" b="1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𝐞</m:t>
                                  </m:r>
                                  <m:sSub>
                                    <m:sSubPr>
                                      <m:ctrlPr>
                                        <a:rPr lang="it-IT" sz="1100" b="1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it-IT" sz="1100" b="1" i="0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𝐫</m:t>
                                      </m:r>
                                    </m:e>
                                    <m:sub>
                                      <m:r>
                                        <a:rPr lang="it-IT" sz="1100" b="1" i="0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𝐝</m:t>
                                      </m:r>
                                    </m:sub>
                                  </m:sSub>
                                </m:e>
                              </m:d>
                            </m:e>
                            <m:sup>
                              <m:sSub>
                                <m:sSubPr>
                                  <m:ctrlPr>
                                    <a:rPr lang="it-IT" sz="1100" b="1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it-IT" sz="1100" b="1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𝐩𝐫</m:t>
                                  </m:r>
                                </m:e>
                                <m:sub>
                                  <m:r>
                                    <a:rPr lang="it-IT" sz="1100" b="1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𝐲</m:t>
                                  </m:r>
                                </m:sub>
                              </m:sSub>
                              <m:r>
                                <a:rPr lang="it-IT" sz="11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−1</m:t>
                              </m:r>
                            </m:sup>
                          </m:sSup>
                        </m:den>
                      </m:f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511" name="TextBox 267">
                <a:extLst>
                  <a:ext uri="{FF2B5EF4-FFF2-40B4-BE49-F238E27FC236}">
                    <a16:creationId xmlns:a16="http://schemas.microsoft.com/office/drawing/2014/main" id="{AD0EF075-CF5A-406E-8384-2FCF4FE7E305}"/>
                  </a:ext>
                </a:extLst>
              </xdr:cNvPr>
              <xdr:cNvSpPr txBox="1"/>
            </xdr:nvSpPr>
            <xdr:spPr>
              <a:xfrm>
                <a:off x="23546567" y="39735125"/>
                <a:ext cx="2040733" cy="43822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 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𝐂_(𝐯𝐚𝐫,𝐨𝐩,𝐝)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=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𝐂_(𝐯𝐚𝐫,𝐨𝐩)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∙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1/(1+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𝐞𝐫_𝐝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)^(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〖𝐩𝐫〗_𝐲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−1) 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82" name="TextBox 268">
                <a:extLst>
                  <a:ext uri="{FF2B5EF4-FFF2-40B4-BE49-F238E27FC236}">
                    <a16:creationId xmlns:a16="http://schemas.microsoft.com/office/drawing/2014/main" id="{4B0E1B97-1B80-4C88-8065-4673F625812F}"/>
                  </a:ext>
                </a:extLst>
              </xdr:cNvPr>
              <xdr:cNvSpPr txBox="1"/>
            </xdr:nvSpPr>
            <xdr:spPr>
              <a:xfrm>
                <a:off x="23527959" y="39559045"/>
                <a:ext cx="1502426" cy="57930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 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𝐯𝐚𝐫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𝐨𝐩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𝐯𝐚𝐫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𝐨𝐩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∙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acc>
                            <m:accPr>
                              <m:chr m:val="̂"/>
                              <m:ctrlPr>
                                <a:rPr lang="it-IT" sz="1100" b="1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accPr>
                            <m:e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𝐗</m:t>
                              </m:r>
                            </m:e>
                          </m:acc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</m:sub>
                      </m:sSub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82" name="TextBox 268">
                <a:extLst>
                  <a:ext uri="{FF2B5EF4-FFF2-40B4-BE49-F238E27FC236}">
                    <a16:creationId xmlns:a16="http://schemas.microsoft.com/office/drawing/2014/main" id="{4B0E1B97-1B80-4C88-8065-4673F625812F}"/>
                  </a:ext>
                </a:extLst>
              </xdr:cNvPr>
              <xdr:cNvSpPr txBox="1"/>
            </xdr:nvSpPr>
            <xdr:spPr>
              <a:xfrm>
                <a:off x="23527959" y="39559045"/>
                <a:ext cx="1502426" cy="57930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 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𝐂_(𝐯𝐚𝐫,𝐨𝐩)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=𝐜_(𝐯𝐚𝐫,𝐨𝐩)∙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𝐗 ̂_𝐲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513" name="TextBox 269">
                <a:extLst>
                  <a:ext uri="{FF2B5EF4-FFF2-40B4-BE49-F238E27FC236}">
                    <a16:creationId xmlns:a16="http://schemas.microsoft.com/office/drawing/2014/main" id="{643B574C-576B-4B0A-9CA6-8F2ED449582B}"/>
                  </a:ext>
                </a:extLst>
              </xdr:cNvPr>
              <xdr:cNvSpPr txBox="1"/>
            </xdr:nvSpPr>
            <xdr:spPr>
              <a:xfrm>
                <a:off x="23585873" y="41116773"/>
                <a:ext cx="1496101" cy="23213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 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𝐏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𝐭𝐨𝐭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𝐬</m:t>
                          </m:r>
                        </m:sub>
                      </m:sSub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𝐏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</m:t>
                          </m:r>
                        </m:sub>
                      </m:sSub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′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513" name="TextBox 269">
                <a:extLst>
                  <a:ext uri="{FF2B5EF4-FFF2-40B4-BE49-F238E27FC236}">
                    <a16:creationId xmlns:a16="http://schemas.microsoft.com/office/drawing/2014/main" id="{643B574C-576B-4B0A-9CA6-8F2ED449582B}"/>
                  </a:ext>
                </a:extLst>
              </xdr:cNvPr>
              <xdr:cNvSpPr txBox="1"/>
            </xdr:nvSpPr>
            <xdr:spPr>
              <a:xfrm>
                <a:off x="23585873" y="41116773"/>
                <a:ext cx="1496101" cy="23213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 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𝐏_(𝐦,𝐭𝐨𝐭)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=𝐢_𝐬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𝐏_𝐦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𝐢_𝐩′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532" name="TextBox 270">
                <a:extLst>
                  <a:ext uri="{FF2B5EF4-FFF2-40B4-BE49-F238E27FC236}">
                    <a16:creationId xmlns:a16="http://schemas.microsoft.com/office/drawing/2014/main" id="{8BC8BA5D-07E7-4B08-8ACE-CEB106415932}"/>
                  </a:ext>
                </a:extLst>
              </xdr:cNvPr>
              <xdr:cNvSpPr txBox="1"/>
            </xdr:nvSpPr>
            <xdr:spPr>
              <a:xfrm>
                <a:off x="23516354" y="41359983"/>
                <a:ext cx="2335268" cy="46244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 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𝐏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𝐭𝐨𝐭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𝐝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𝐏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𝐭𝐨𝐭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∙</m:t>
                      </m:r>
                      <m:f>
                        <m:fPr>
                          <m:ctrlPr>
                            <a:rPr lang="it-IT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1</m:t>
                          </m:r>
                        </m:num>
                        <m:den>
                          <m:sSup>
                            <m:sSupPr>
                              <m:ctrlPr>
                                <a:rPr lang="it-IT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d>
                                <m:dPr>
                                  <m:ctrlPr>
                                    <a:rPr lang="it-IT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dPr>
                                <m:e>
                                  <m:r>
                                    <a:rPr lang="it-IT" sz="11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1+</m:t>
                                  </m:r>
                                  <m:r>
                                    <a:rPr lang="it-IT" sz="1100" b="1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𝐞</m:t>
                                  </m:r>
                                  <m:sSub>
                                    <m:sSubPr>
                                      <m:ctrlPr>
                                        <a:rPr lang="it-IT" sz="1100" b="1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it-IT" sz="1100" b="1" i="0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𝐫</m:t>
                                      </m:r>
                                    </m:e>
                                    <m:sub>
                                      <m:r>
                                        <a:rPr lang="it-IT" sz="1100" b="1" i="0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𝐝</m:t>
                                      </m:r>
                                    </m:sub>
                                  </m:sSub>
                                </m:e>
                              </m:d>
                            </m:e>
                            <m:sup>
                              <m:sSub>
                                <m:sSubPr>
                                  <m:ctrlPr>
                                    <a:rPr lang="it-IT" sz="1100" b="1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it-IT" sz="1100" b="1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𝐩𝐫</m:t>
                                  </m:r>
                                </m:e>
                                <m:sub>
                                  <m:r>
                                    <a:rPr lang="it-IT" sz="1100" b="1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𝐲</m:t>
                                  </m:r>
                                </m:sub>
                              </m:sSub>
                              <m:r>
                                <a:rPr lang="it-IT" sz="11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−1</m:t>
                              </m:r>
                            </m:sup>
                          </m:sSup>
                        </m:den>
                      </m:f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532" name="TextBox 270">
                <a:extLst>
                  <a:ext uri="{FF2B5EF4-FFF2-40B4-BE49-F238E27FC236}">
                    <a16:creationId xmlns:a16="http://schemas.microsoft.com/office/drawing/2014/main" id="{8BC8BA5D-07E7-4B08-8ACE-CEB106415932}"/>
                  </a:ext>
                </a:extLst>
              </xdr:cNvPr>
              <xdr:cNvSpPr txBox="1"/>
            </xdr:nvSpPr>
            <xdr:spPr>
              <a:xfrm>
                <a:off x="23516354" y="41359983"/>
                <a:ext cx="2335268" cy="46244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 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𝐏_(𝐦,𝐭𝐨𝐭,𝐝)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=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𝐏_(𝐦,𝐭𝐨𝐭,𝐜)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∙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1/(1+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𝐞𝐫_𝐝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)^(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〖𝐩𝐫〗_𝐲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−1) 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60" name="TextBox 267">
                <a:extLst>
                  <a:ext uri="{FF2B5EF4-FFF2-40B4-BE49-F238E27FC236}">
                    <a16:creationId xmlns:a16="http://schemas.microsoft.com/office/drawing/2014/main" id="{8097BCA3-E89A-4083-9588-3D1BE9BED35C}"/>
                  </a:ext>
                </a:extLst>
              </xdr:cNvPr>
              <xdr:cNvSpPr txBox="1"/>
            </xdr:nvSpPr>
            <xdr:spPr>
              <a:xfrm>
                <a:off x="23563425" y="40374732"/>
                <a:ext cx="2333953" cy="42923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 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𝐟𝐢𝐱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𝐨𝐩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𝐝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𝐟𝐢𝐱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𝐨𝐩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∙</m:t>
                      </m:r>
                      <m:f>
                        <m:fPr>
                          <m:ctrlPr>
                            <a:rPr lang="it-IT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1</m:t>
                          </m:r>
                        </m:num>
                        <m:den>
                          <m:sSup>
                            <m:sSupPr>
                              <m:ctrlPr>
                                <a:rPr lang="it-IT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d>
                                <m:dPr>
                                  <m:ctrlPr>
                                    <a:rPr lang="it-IT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dPr>
                                <m:e>
                                  <m:r>
                                    <a:rPr lang="it-IT" sz="11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1+</m:t>
                                  </m:r>
                                  <m:r>
                                    <a:rPr lang="it-IT" sz="1100" b="1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𝐞</m:t>
                                  </m:r>
                                  <m:sSub>
                                    <m:sSubPr>
                                      <m:ctrlPr>
                                        <a:rPr lang="it-IT" sz="1100" b="1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it-IT" sz="1100" b="1" i="0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𝐫</m:t>
                                      </m:r>
                                    </m:e>
                                    <m:sub>
                                      <m:r>
                                        <a:rPr lang="it-IT" sz="1100" b="1" i="0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𝐝</m:t>
                                      </m:r>
                                    </m:sub>
                                  </m:sSub>
                                </m:e>
                              </m:d>
                            </m:e>
                            <m:sup>
                              <m:sSub>
                                <m:sSubPr>
                                  <m:ctrlPr>
                                    <a:rPr lang="it-IT" sz="1100" b="1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it-IT" sz="1100" b="1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𝐩𝐫</m:t>
                                  </m:r>
                                </m:e>
                                <m:sub>
                                  <m:r>
                                    <a:rPr lang="it-IT" sz="1100" b="1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𝐲</m:t>
                                  </m:r>
                                  <m:r>
                                    <a:rPr lang="it-IT" sz="1100" b="1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,</m:t>
                                  </m:r>
                                  <m:r>
                                    <a:rPr lang="it-IT" sz="1100" b="1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𝐲</m:t>
                                  </m:r>
                                </m:sub>
                              </m:sSub>
                              <m:r>
                                <a:rPr lang="it-IT" sz="11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−1</m:t>
                              </m:r>
                            </m:sup>
                          </m:sSup>
                        </m:den>
                      </m:f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60" name="TextBox 267">
                <a:extLst>
                  <a:ext uri="{FF2B5EF4-FFF2-40B4-BE49-F238E27FC236}">
                    <a16:creationId xmlns:a16="http://schemas.microsoft.com/office/drawing/2014/main" id="{8097BCA3-E89A-4083-9588-3D1BE9BED35C}"/>
                  </a:ext>
                </a:extLst>
              </xdr:cNvPr>
              <xdr:cNvSpPr txBox="1"/>
            </xdr:nvSpPr>
            <xdr:spPr>
              <a:xfrm>
                <a:off x="23563425" y="40374732"/>
                <a:ext cx="2333953" cy="42923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 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𝐂_(𝐟𝐢𝐱,𝐨𝐩,𝐝)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=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𝐂_(𝐟𝐢𝐱,𝐨𝐩)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∙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1/(1+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𝐞𝐫_𝐝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)^(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〖𝐩𝐫〗_(𝐲,𝐲)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−1) 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61" name="TextBox 268">
                <a:extLst>
                  <a:ext uri="{FF2B5EF4-FFF2-40B4-BE49-F238E27FC236}">
                    <a16:creationId xmlns:a16="http://schemas.microsoft.com/office/drawing/2014/main" id="{52094466-7AA9-4460-8319-93CC41DF1F31}"/>
                  </a:ext>
                </a:extLst>
              </xdr:cNvPr>
              <xdr:cNvSpPr txBox="1"/>
            </xdr:nvSpPr>
            <xdr:spPr>
              <a:xfrm>
                <a:off x="23544818" y="40154736"/>
                <a:ext cx="1649228" cy="23213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 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𝐟𝐢𝐱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𝐨𝐩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𝐟𝐢𝐱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𝐨𝐩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∙</m:t>
                      </m:r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𝐂𝐚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𝐨𝐩</m:t>
                          </m:r>
                        </m:sub>
                      </m:sSub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61" name="TextBox 268">
                <a:extLst>
                  <a:ext uri="{FF2B5EF4-FFF2-40B4-BE49-F238E27FC236}">
                    <a16:creationId xmlns:a16="http://schemas.microsoft.com/office/drawing/2014/main" id="{52094466-7AA9-4460-8319-93CC41DF1F31}"/>
                  </a:ext>
                </a:extLst>
              </xdr:cNvPr>
              <xdr:cNvSpPr txBox="1"/>
            </xdr:nvSpPr>
            <xdr:spPr>
              <a:xfrm>
                <a:off x="23544818" y="40154736"/>
                <a:ext cx="1649228" cy="23213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 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𝐂_(𝐟𝐢𝐱,𝐨𝐩)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=𝐜_(𝐟𝐢𝐱,𝐨𝐩)∙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𝐂𝐚𝐩_𝐨𝐩</a:t>
                </a:r>
                <a:endParaRPr lang="it-IT" sz="1100" b="1" i="0" kern="1200"/>
              </a:p>
            </xdr:txBody>
          </xdr:sp>
        </mc:Fallback>
      </mc:AlternateContent>
    </xdr:grpSp>
    <xdr:clientData/>
  </xdr:twoCellAnchor>
  <xdr:twoCellAnchor>
    <xdr:from>
      <xdr:col>54</xdr:col>
      <xdr:colOff>126627</xdr:colOff>
      <xdr:row>321</xdr:row>
      <xdr:rowOff>154469</xdr:rowOff>
    </xdr:from>
    <xdr:to>
      <xdr:col>59</xdr:col>
      <xdr:colOff>184346</xdr:colOff>
      <xdr:row>331</xdr:row>
      <xdr:rowOff>49611</xdr:rowOff>
    </xdr:to>
    <xdr:grpSp>
      <xdr:nvGrpSpPr>
        <xdr:cNvPr id="467" name="Group 466">
          <a:extLst>
            <a:ext uri="{FF2B5EF4-FFF2-40B4-BE49-F238E27FC236}">
              <a16:creationId xmlns:a16="http://schemas.microsoft.com/office/drawing/2014/main" id="{E3CF6280-9FD2-53DF-AFC1-CA4A78825EF7}"/>
            </a:ext>
          </a:extLst>
        </xdr:cNvPr>
        <xdr:cNvGrpSpPr/>
      </xdr:nvGrpSpPr>
      <xdr:grpSpPr>
        <a:xfrm>
          <a:off x="23456527" y="53767519"/>
          <a:ext cx="2089719" cy="1546142"/>
          <a:chOff x="23595609" y="45475122"/>
          <a:chExt cx="2135574" cy="1496690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62" name="TextBox 228">
                <a:extLst>
                  <a:ext uri="{FF2B5EF4-FFF2-40B4-BE49-F238E27FC236}">
                    <a16:creationId xmlns:a16="http://schemas.microsoft.com/office/drawing/2014/main" id="{D2661FA3-A64C-4E71-BBBD-CB1291A561B3}"/>
                  </a:ext>
                </a:extLst>
              </xdr:cNvPr>
              <xdr:cNvSpPr txBox="1"/>
            </xdr:nvSpPr>
            <xdr:spPr>
              <a:xfrm>
                <a:off x="23600189" y="45475122"/>
                <a:ext cx="1895850" cy="22045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𝐜𝐞𝐦</m:t>
                          </m:r>
                        </m:sub>
                      </m:sSub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𝐜𝐚𝐩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𝐜𝐞𝐦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≤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𝐜𝐚𝐩𝐞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𝐱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𝐦𝐚𝐱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𝐜𝐞𝐦</m:t>
                          </m:r>
                        </m:sub>
                      </m:sSub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62" name="TextBox 228">
                <a:extLst>
                  <a:ext uri="{FF2B5EF4-FFF2-40B4-BE49-F238E27FC236}">
                    <a16:creationId xmlns:a16="http://schemas.microsoft.com/office/drawing/2014/main" id="{D2661FA3-A64C-4E71-BBBD-CB1291A561B3}"/>
                  </a:ext>
                </a:extLst>
              </xdr:cNvPr>
              <xdr:cNvSpPr txBox="1"/>
            </xdr:nvSpPr>
            <xdr:spPr>
              <a:xfrm>
                <a:off x="23600189" y="45475122"/>
                <a:ext cx="1895850" cy="22045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𝐢_(𝐭,𝐜𝐞𝐦)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𝐂_(𝐜𝐚𝐩,𝐜𝐞𝐦)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≤𝐜𝐚𝐩𝐞𝐱_(𝐦𝐚𝐱,𝐜𝐞𝐦)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63" name="TextBox 228">
                <a:extLst>
                  <a:ext uri="{FF2B5EF4-FFF2-40B4-BE49-F238E27FC236}">
                    <a16:creationId xmlns:a16="http://schemas.microsoft.com/office/drawing/2014/main" id="{443C9FC1-71A3-4D58-968F-54FBB4075119}"/>
                  </a:ext>
                </a:extLst>
              </xdr:cNvPr>
              <xdr:cNvSpPr txBox="1"/>
            </xdr:nvSpPr>
            <xdr:spPr>
              <a:xfrm>
                <a:off x="23597014" y="45798608"/>
                <a:ext cx="1899025" cy="20457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𝐡𝐭</m:t>
                          </m:r>
                        </m:sub>
                      </m:sSub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𝐜𝐚𝐩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𝐡𝐭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≤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𝐜𝐚𝐩𝐞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𝐱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𝐦𝐚𝐱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𝐡𝐭</m:t>
                          </m:r>
                        </m:sub>
                      </m:sSub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63" name="TextBox 228">
                <a:extLst>
                  <a:ext uri="{FF2B5EF4-FFF2-40B4-BE49-F238E27FC236}">
                    <a16:creationId xmlns:a16="http://schemas.microsoft.com/office/drawing/2014/main" id="{443C9FC1-71A3-4D58-968F-54FBB4075119}"/>
                  </a:ext>
                </a:extLst>
              </xdr:cNvPr>
              <xdr:cNvSpPr txBox="1"/>
            </xdr:nvSpPr>
            <xdr:spPr>
              <a:xfrm>
                <a:off x="23597014" y="45798608"/>
                <a:ext cx="1899025" cy="20457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𝐢_(𝐭,𝐡𝐭)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𝐂_(𝐜𝐚𝐩,𝐡𝐭)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≤𝐜𝐚𝐩𝐞𝐱_(𝐦𝐚𝐱,𝐡𝐭)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64" name="TextBox 228">
                <a:extLst>
                  <a:ext uri="{FF2B5EF4-FFF2-40B4-BE49-F238E27FC236}">
                    <a16:creationId xmlns:a16="http://schemas.microsoft.com/office/drawing/2014/main" id="{467B8B82-E63A-4C80-9674-FAE1744EB372}"/>
                  </a:ext>
                </a:extLst>
              </xdr:cNvPr>
              <xdr:cNvSpPr txBox="1"/>
            </xdr:nvSpPr>
            <xdr:spPr>
              <a:xfrm>
                <a:off x="23595609" y="46116416"/>
                <a:ext cx="1892675" cy="21410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𝐥𝐭</m:t>
                          </m:r>
                        </m:sub>
                      </m:sSub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𝐜𝐚𝐩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𝐥𝐭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≤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𝐜𝐚𝐩𝐞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𝐱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𝐦𝐚𝐱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𝐥𝐭</m:t>
                          </m:r>
                        </m:sub>
                      </m:sSub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64" name="TextBox 228">
                <a:extLst>
                  <a:ext uri="{FF2B5EF4-FFF2-40B4-BE49-F238E27FC236}">
                    <a16:creationId xmlns:a16="http://schemas.microsoft.com/office/drawing/2014/main" id="{467B8B82-E63A-4C80-9674-FAE1744EB372}"/>
                  </a:ext>
                </a:extLst>
              </xdr:cNvPr>
              <xdr:cNvSpPr txBox="1"/>
            </xdr:nvSpPr>
            <xdr:spPr>
              <a:xfrm>
                <a:off x="23595609" y="46116416"/>
                <a:ext cx="1892675" cy="21410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𝐢_(𝐭,𝐥𝐭)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𝐂_(𝐜𝐚𝐩,𝐥𝐭)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≤𝐜𝐚𝐩𝐞𝐱_(𝐦𝐚𝐱,𝐥𝐭)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65" name="TextBox 228">
                <a:extLst>
                  <a:ext uri="{FF2B5EF4-FFF2-40B4-BE49-F238E27FC236}">
                    <a16:creationId xmlns:a16="http://schemas.microsoft.com/office/drawing/2014/main" id="{9D298EB8-31E0-41E9-9DB1-220637DB41EF}"/>
                  </a:ext>
                </a:extLst>
              </xdr:cNvPr>
              <xdr:cNvSpPr txBox="1"/>
            </xdr:nvSpPr>
            <xdr:spPr>
              <a:xfrm>
                <a:off x="23604713" y="46420542"/>
                <a:ext cx="2126470" cy="21727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𝐩𝐬</m:t>
                          </m:r>
                        </m:sub>
                      </m:sSub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𝐜𝐚𝐩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𝐩𝐨𝐰𝐞𝐫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≤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𝐜𝐚𝐩𝐞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𝐱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𝐦𝐚𝐱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𝐩𝐨𝐰𝐞𝐫</m:t>
                          </m:r>
                        </m:sub>
                      </m:sSub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65" name="TextBox 228">
                <a:extLst>
                  <a:ext uri="{FF2B5EF4-FFF2-40B4-BE49-F238E27FC236}">
                    <a16:creationId xmlns:a16="http://schemas.microsoft.com/office/drawing/2014/main" id="{9D298EB8-31E0-41E9-9DB1-220637DB41EF}"/>
                  </a:ext>
                </a:extLst>
              </xdr:cNvPr>
              <xdr:cNvSpPr txBox="1"/>
            </xdr:nvSpPr>
            <xdr:spPr>
              <a:xfrm>
                <a:off x="23604713" y="46420542"/>
                <a:ext cx="2126470" cy="21727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𝐢_(𝐭,𝐩𝐬)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𝐂_(𝐜𝐚𝐩,𝐩𝐨𝐰𝐞𝐫)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≤𝐜𝐚𝐩𝐞𝐱_(𝐦𝐚𝐱,𝐩𝐨𝐰𝐞𝐫)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66" name="TextBox 228">
                <a:extLst>
                  <a:ext uri="{FF2B5EF4-FFF2-40B4-BE49-F238E27FC236}">
                    <a16:creationId xmlns:a16="http://schemas.microsoft.com/office/drawing/2014/main" id="{C811F07D-2E98-4ED8-BDFC-BC64DBA0E030}"/>
                  </a:ext>
                </a:extLst>
              </xdr:cNvPr>
              <xdr:cNvSpPr txBox="1"/>
            </xdr:nvSpPr>
            <xdr:spPr>
              <a:xfrm>
                <a:off x="23607888" y="46757710"/>
                <a:ext cx="2120120" cy="21410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𝐬𝐭𝐥</m:t>
                          </m:r>
                        </m:sub>
                      </m:sSub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𝐂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𝐜𝐚𝐩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𝐬𝐭𝐥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≤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𝐜𝐚𝐩𝐞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𝐱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𝐦𝐚𝐱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𝐬𝐭𝐥</m:t>
                          </m:r>
                        </m:sub>
                      </m:sSub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66" name="TextBox 228">
                <a:extLst>
                  <a:ext uri="{FF2B5EF4-FFF2-40B4-BE49-F238E27FC236}">
                    <a16:creationId xmlns:a16="http://schemas.microsoft.com/office/drawing/2014/main" id="{C811F07D-2E98-4ED8-BDFC-BC64DBA0E030}"/>
                  </a:ext>
                </a:extLst>
              </xdr:cNvPr>
              <xdr:cNvSpPr txBox="1"/>
            </xdr:nvSpPr>
            <xdr:spPr>
              <a:xfrm>
                <a:off x="23607888" y="46757710"/>
                <a:ext cx="2120120" cy="21410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𝐢_(𝐭,𝐬𝐭𝐥)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𝐂_(𝐜𝐚𝐩,𝐬𝐭𝐥)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≤𝐜𝐚𝐩𝐞𝐱_(𝐦𝐚𝐱,𝐬𝐭𝐥)</a:t>
                </a:r>
                <a:endParaRPr lang="it-IT" sz="1100" b="1" i="0" kern="1200"/>
              </a:p>
            </xdr:txBody>
          </xdr:sp>
        </mc:Fallback>
      </mc:AlternateContent>
    </xdr:grpSp>
    <xdr:clientData/>
  </xdr:twoCellAnchor>
  <xdr:twoCellAnchor>
    <xdr:from>
      <xdr:col>54</xdr:col>
      <xdr:colOff>111849</xdr:colOff>
      <xdr:row>334</xdr:row>
      <xdr:rowOff>129183</xdr:rowOff>
    </xdr:from>
    <xdr:to>
      <xdr:col>62</xdr:col>
      <xdr:colOff>168585</xdr:colOff>
      <xdr:row>336</xdr:row>
      <xdr:rowOff>119105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8" name="TextBox 228">
              <a:extLst>
                <a:ext uri="{FF2B5EF4-FFF2-40B4-BE49-F238E27FC236}">
                  <a16:creationId xmlns:a16="http://schemas.microsoft.com/office/drawing/2014/main" id="{E58F0B63-2CF2-45C9-A577-DDE62392DF89}"/>
                </a:ext>
              </a:extLst>
            </xdr:cNvPr>
            <xdr:cNvSpPr txBox="1"/>
          </xdr:nvSpPr>
          <xdr:spPr>
            <a:xfrm>
              <a:off x="23671473" y="51690621"/>
              <a:ext cx="3360984" cy="3102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it-IT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0:</m:t>
                    </m:r>
                    <m:d>
                      <m:dPr>
                        <m:ctrlPr>
                          <a:rPr lang="it-IT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it-IT" sz="1100" b="1" i="1">
                                <a:solidFill>
                                  <a:srgbClr val="FF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it-IT" sz="1100" b="1" i="0">
                                <a:solidFill>
                                  <a:srgbClr val="FF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𝐑</m:t>
                            </m:r>
                          </m:e>
                          <m:sub>
                            <m:r>
                              <a:rPr lang="it-IT" sz="1100" b="1" i="0">
                                <a:solidFill>
                                  <a:srgbClr val="FF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𝐯𝐮</m:t>
                            </m:r>
                            <m:r>
                              <a:rPr lang="it-IT" sz="1100" b="1" i="0">
                                <a:solidFill>
                                  <a:srgbClr val="FF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it-IT" sz="1100" b="1" i="0">
                                <a:solidFill>
                                  <a:srgbClr val="FF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𝐧𝐞𝐭</m:t>
                            </m:r>
                            <m:r>
                              <a:rPr lang="it-IT" sz="1100" b="1" i="0">
                                <a:solidFill>
                                  <a:srgbClr val="FF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it-IT" sz="1100" b="1" i="0">
                                <a:solidFill>
                                  <a:srgbClr val="FF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𝐭𝐨𝐭</m:t>
                            </m:r>
                            <m:r>
                              <a:rPr lang="it-IT" sz="1100" b="1" i="0">
                                <a:solidFill>
                                  <a:srgbClr val="FF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it-IT" sz="1100" b="1" i="0">
                                <a:solidFill>
                                  <a:srgbClr val="FF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𝐚𝐥</m:t>
                            </m:r>
                            <m:sSub>
                              <m:sSubPr>
                                <m:ctrlPr>
                                  <a:rPr lang="it-IT" sz="1100" b="1" i="1">
                                    <a:solidFill>
                                      <a:srgbClr val="FF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it-IT" sz="1100" b="1" i="0">
                                    <a:solidFill>
                                      <a:srgbClr val="FF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𝐥</m:t>
                                </m:r>
                              </m:e>
                              <m:sub>
                                <m:r>
                                  <a:rPr lang="it-IT" sz="1100" b="1" i="0">
                                    <a:solidFill>
                                      <a:srgbClr val="FF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𝐭𝐞𝐜</m:t>
                                </m:r>
                                <m:sSub>
                                  <m:sSubPr>
                                    <m:ctrlPr>
                                      <a:rPr lang="it-IT" sz="1100" b="1" i="1">
                                        <a:solidFill>
                                          <a:srgbClr val="FF0000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it-IT" sz="1100" b="1" i="0">
                                        <a:solidFill>
                                          <a:srgbClr val="FF0000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𝐡</m:t>
                                    </m:r>
                                  </m:e>
                                  <m:sub>
                                    <m:r>
                                      <a:rPr lang="it-IT" sz="1100" b="1" i="0">
                                        <a:solidFill>
                                          <a:srgbClr val="FF0000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𝐲</m:t>
                                    </m:r>
                                  </m:sub>
                                </m:sSub>
                              </m:sub>
                            </m:sSub>
                          </m:sub>
                        </m:sSub>
                        <m:r>
                          <a:rPr lang="it-IT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it-IT" sz="1100" b="1" i="1">
                                <a:solidFill>
                                  <a:srgbClr val="FF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it-IT" sz="1100" b="1" i="0">
                                <a:solidFill>
                                  <a:srgbClr val="FF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𝐑</m:t>
                            </m:r>
                          </m:e>
                          <m:sub>
                            <m:r>
                              <a:rPr lang="it-IT" sz="1100" b="1" i="0">
                                <a:solidFill>
                                  <a:srgbClr val="FF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𝐯𝐞</m:t>
                            </m:r>
                            <m:r>
                              <a:rPr lang="it-IT" sz="1100" b="1" i="0">
                                <a:solidFill>
                                  <a:srgbClr val="FF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it-IT" sz="1100" b="1" i="0">
                                <a:solidFill>
                                  <a:srgbClr val="FF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𝐚𝐥</m:t>
                            </m:r>
                            <m:sSub>
                              <m:sSubPr>
                                <m:ctrlPr>
                                  <a:rPr lang="it-IT" sz="1100" b="1" i="1">
                                    <a:solidFill>
                                      <a:srgbClr val="FF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it-IT" sz="1100" b="1" i="0">
                                    <a:solidFill>
                                      <a:srgbClr val="FF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𝐥</m:t>
                                </m:r>
                              </m:e>
                              <m:sub>
                                <m:r>
                                  <a:rPr lang="it-IT" sz="1100" b="1" i="0">
                                    <a:solidFill>
                                      <a:srgbClr val="FF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𝐭𝐞𝐜</m:t>
                                </m:r>
                                <m:sSub>
                                  <m:sSubPr>
                                    <m:ctrlPr>
                                      <a:rPr lang="it-IT" sz="1100" b="1" i="1">
                                        <a:solidFill>
                                          <a:srgbClr val="FF0000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it-IT" sz="1100" b="1" i="0">
                                        <a:solidFill>
                                          <a:srgbClr val="FF0000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𝐡</m:t>
                                    </m:r>
                                  </m:e>
                                  <m:sub>
                                    <m:r>
                                      <a:rPr lang="it-IT" sz="1100" b="1" i="0">
                                        <a:solidFill>
                                          <a:srgbClr val="FF0000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𝐩𝐞</m:t>
                                    </m:r>
                                  </m:sub>
                                </m:sSub>
                              </m:sub>
                            </m:sSub>
                          </m:sub>
                        </m:sSub>
                      </m:e>
                    </m:d>
                    <m:sSub>
                      <m:sSubPr>
                        <m:ctrlPr>
                          <a:rPr lang="it-IT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𝐢</m:t>
                        </m:r>
                      </m:e>
                      <m:sub>
                        <m:r>
                          <a:rPr lang="it-IT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𝐲</m:t>
                        </m:r>
                        <m:r>
                          <a:rPr lang="it-IT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𝐞𝐦𝐢𝐬</m:t>
                        </m:r>
                      </m:sub>
                    </m:sSub>
                    <m:r>
                      <a:rPr lang="it-IT" sz="11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</m:t>
                    </m:r>
                    <m:r>
                      <a:rPr lang="it-IT" sz="11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𝐞𝐦𝐢𝐬</m:t>
                    </m:r>
                    <m:r>
                      <a:rPr lang="it-IT" sz="11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_</m:t>
                    </m:r>
                    <m:r>
                      <a:rPr lang="it-IT" sz="11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𝐦𝐚𝐱</m:t>
                    </m:r>
                  </m:oMath>
                </m:oMathPara>
              </a14:m>
              <a:endParaRPr lang="it-IT" sz="1100" b="1" i="0" kern="1200"/>
            </a:p>
          </xdr:txBody>
        </xdr:sp>
      </mc:Choice>
      <mc:Fallback xmlns="">
        <xdr:sp macro="" textlink="">
          <xdr:nvSpPr>
            <xdr:cNvPr id="468" name="TextBox 228">
              <a:extLst>
                <a:ext uri="{FF2B5EF4-FFF2-40B4-BE49-F238E27FC236}">
                  <a16:creationId xmlns:a16="http://schemas.microsoft.com/office/drawing/2014/main" id="{E58F0B63-2CF2-45C9-A577-DDE62392DF89}"/>
                </a:ext>
              </a:extLst>
            </xdr:cNvPr>
            <xdr:cNvSpPr txBox="1"/>
          </xdr:nvSpPr>
          <xdr:spPr>
            <a:xfrm>
              <a:off x="23671473" y="51690621"/>
              <a:ext cx="3360984" cy="3102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it-I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0:</a:t>
              </a:r>
              <a:r>
                <a:rPr lang="it-IT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it-IT" sz="11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𝐑_(𝐯𝐮,𝐧𝐞𝐭,𝐭𝐨𝐭,𝐚𝐥𝐥_(𝐭𝐞𝐜𝐡_𝐲 ) )</a:t>
              </a:r>
              <a:r>
                <a:rPr lang="it-IT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it-IT" sz="11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𝐑_(𝐯𝐞,𝐚𝐥𝐥_(𝐭𝐞𝐜𝐡_𝐩𝐞 ) )</a:t>
              </a:r>
              <a:r>
                <a:rPr lang="it-IT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 𝐢_(𝐲,𝐞𝐦𝐢𝐬)≤𝐞𝐦𝐢𝐬_𝐦𝐚𝐱</a:t>
              </a:r>
              <a:endParaRPr lang="it-IT" sz="1100" b="1" i="0" kern="1200"/>
            </a:p>
          </xdr:txBody>
        </xdr:sp>
      </mc:Fallback>
    </mc:AlternateContent>
    <xdr:clientData/>
  </xdr:twoCellAnchor>
  <xdr:twoCellAnchor>
    <xdr:from>
      <xdr:col>54</xdr:col>
      <xdr:colOff>94408</xdr:colOff>
      <xdr:row>286</xdr:row>
      <xdr:rowOff>9913</xdr:rowOff>
    </xdr:from>
    <xdr:to>
      <xdr:col>60</xdr:col>
      <xdr:colOff>371981</xdr:colOff>
      <xdr:row>293</xdr:row>
      <xdr:rowOff>64373</xdr:rowOff>
    </xdr:to>
    <xdr:grpSp>
      <xdr:nvGrpSpPr>
        <xdr:cNvPr id="472" name="Group 471">
          <a:extLst>
            <a:ext uri="{FF2B5EF4-FFF2-40B4-BE49-F238E27FC236}">
              <a16:creationId xmlns:a16="http://schemas.microsoft.com/office/drawing/2014/main" id="{8713E4BA-04C4-4CED-1342-B17648147A0F}"/>
            </a:ext>
          </a:extLst>
        </xdr:cNvPr>
        <xdr:cNvGrpSpPr/>
      </xdr:nvGrpSpPr>
      <xdr:grpSpPr>
        <a:xfrm>
          <a:off x="23424308" y="47844463"/>
          <a:ext cx="2715973" cy="1210160"/>
          <a:chOff x="23701432" y="48519979"/>
          <a:chExt cx="2755759" cy="1175544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19" name="TextBox 210">
                <a:extLst>
                  <a:ext uri="{FF2B5EF4-FFF2-40B4-BE49-F238E27FC236}">
                    <a16:creationId xmlns:a16="http://schemas.microsoft.com/office/drawing/2014/main" id="{EAEC7F7A-AA91-4C94-AD67-09395849687F}"/>
                  </a:ext>
                </a:extLst>
              </xdr:cNvPr>
              <xdr:cNvSpPr txBox="1"/>
            </xdr:nvSpPr>
            <xdr:spPr>
              <a:xfrm>
                <a:off x="23704607" y="48519979"/>
                <a:ext cx="2740979" cy="2050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 </m:t>
                      </m:r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𝐂𝐚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𝐨𝐩</m:t>
                          </m:r>
                        </m:sub>
                      </m:sSub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≤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𝐂𝐚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𝐨𝐩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𝐦𝐚𝐱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(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𝟏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𝐭𝐨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𝐥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𝐜𝐚𝐩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𝐨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𝐩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𝐦𝐚𝐱</m:t>
                              </m:r>
                            </m:sub>
                          </m:sSub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19" name="TextBox 210">
                <a:extLst>
                  <a:ext uri="{FF2B5EF4-FFF2-40B4-BE49-F238E27FC236}">
                    <a16:creationId xmlns:a16="http://schemas.microsoft.com/office/drawing/2014/main" id="{EAEC7F7A-AA91-4C94-AD67-09395849687F}"/>
                  </a:ext>
                </a:extLst>
              </xdr:cNvPr>
              <xdr:cNvSpPr txBox="1"/>
            </xdr:nvSpPr>
            <xdr:spPr>
              <a:xfrm>
                <a:off x="23704607" y="48519979"/>
                <a:ext cx="2740979" cy="2050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𝐂𝐚𝐩_𝐨𝐩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≤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𝐂𝐚𝐩_(𝐨𝐩,𝐦𝐚𝐱)  (𝟏+𝐭𝐨𝐥_(𝐜𝐚𝐩,𝐨𝐩_𝐦𝐚𝐱 ))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69" name="TextBox 210">
                <a:extLst>
                  <a:ext uri="{FF2B5EF4-FFF2-40B4-BE49-F238E27FC236}">
                    <a16:creationId xmlns:a16="http://schemas.microsoft.com/office/drawing/2014/main" id="{22292794-39C2-4AD5-BA4B-7D7CF766C23E}"/>
                  </a:ext>
                </a:extLst>
              </xdr:cNvPr>
              <xdr:cNvSpPr txBox="1"/>
            </xdr:nvSpPr>
            <xdr:spPr>
              <a:xfrm>
                <a:off x="23701432" y="48845543"/>
                <a:ext cx="2747329" cy="21143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 </m:t>
                      </m:r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𝐂𝐚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𝐨𝐩</m:t>
                          </m:r>
                        </m:sub>
                      </m:sSub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≥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𝐂𝐚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𝐨𝐩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𝐦𝐢𝐧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(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𝟏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𝐭𝐨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𝐥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𝐜𝐚𝐩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𝐨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𝐩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𝐦𝐢𝐧</m:t>
                              </m:r>
                            </m:sub>
                          </m:sSub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69" name="TextBox 210">
                <a:extLst>
                  <a:ext uri="{FF2B5EF4-FFF2-40B4-BE49-F238E27FC236}">
                    <a16:creationId xmlns:a16="http://schemas.microsoft.com/office/drawing/2014/main" id="{22292794-39C2-4AD5-BA4B-7D7CF766C23E}"/>
                  </a:ext>
                </a:extLst>
              </xdr:cNvPr>
              <xdr:cNvSpPr txBox="1"/>
            </xdr:nvSpPr>
            <xdr:spPr>
              <a:xfrm>
                <a:off x="23701432" y="48845543"/>
                <a:ext cx="2747329" cy="21143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𝐂𝐚𝐩_𝐨𝐩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≥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𝐂𝐚𝐩_(𝐨𝐩,𝐦𝐢𝐧)  (𝟏−𝐭𝐨𝐥_(𝐜𝐚𝐩,𝐨𝐩_𝐦𝐢𝐧 ))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70" name="TextBox 210">
                <a:extLst>
                  <a:ext uri="{FF2B5EF4-FFF2-40B4-BE49-F238E27FC236}">
                    <a16:creationId xmlns:a16="http://schemas.microsoft.com/office/drawing/2014/main" id="{E8472BDE-1406-41F4-989D-ACF6A5EA502A}"/>
                  </a:ext>
                </a:extLst>
              </xdr:cNvPr>
              <xdr:cNvSpPr txBox="1"/>
            </xdr:nvSpPr>
            <xdr:spPr>
              <a:xfrm>
                <a:off x="23701432" y="49165853"/>
                <a:ext cx="2747329" cy="21143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 </m:t>
                      </m:r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𝐂𝐚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𝐧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𝐩𝐥</m:t>
                          </m:r>
                        </m:sub>
                      </m:sSub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≤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𝐂𝐚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𝐧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𝐩𝐥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𝐦𝐚𝐱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(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𝟏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𝐭𝐨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𝐥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𝐜𝐚𝐩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𝐧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𝐥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𝐦𝐚𝐱</m:t>
                              </m:r>
                            </m:sub>
                          </m:sSub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70" name="TextBox 210">
                <a:extLst>
                  <a:ext uri="{FF2B5EF4-FFF2-40B4-BE49-F238E27FC236}">
                    <a16:creationId xmlns:a16="http://schemas.microsoft.com/office/drawing/2014/main" id="{E8472BDE-1406-41F4-989D-ACF6A5EA502A}"/>
                  </a:ext>
                </a:extLst>
              </xdr:cNvPr>
              <xdr:cNvSpPr txBox="1"/>
            </xdr:nvSpPr>
            <xdr:spPr>
              <a:xfrm>
                <a:off x="23701432" y="49165853"/>
                <a:ext cx="2747329" cy="21143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𝐂𝐚𝐩_(𝐧,𝐩𝐥)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≤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𝐂𝐚𝐩_(𝐧,𝐩𝐥,𝐦𝐚𝐱)  (𝟏+𝐭𝐨𝐥_(𝐜𝐚𝐩,𝐧,𝐩𝐥_𝐦𝐚𝐱 ))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71" name="TextBox 210">
                <a:extLst>
                  <a:ext uri="{FF2B5EF4-FFF2-40B4-BE49-F238E27FC236}">
                    <a16:creationId xmlns:a16="http://schemas.microsoft.com/office/drawing/2014/main" id="{910F9C18-2B64-475E-AD7F-93E457540D69}"/>
                  </a:ext>
                </a:extLst>
              </xdr:cNvPr>
              <xdr:cNvSpPr txBox="1"/>
            </xdr:nvSpPr>
            <xdr:spPr>
              <a:xfrm>
                <a:off x="23709862" y="49480909"/>
                <a:ext cx="2747329" cy="21461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 </m:t>
                      </m:r>
                      <m:r>
                        <a:rPr lang="it-IT" sz="1100" b="1" i="0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𝐂𝐚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𝐧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𝐩𝐥</m:t>
                          </m:r>
                        </m:sub>
                      </m:sSub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≥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𝐂𝐚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𝐧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𝐩𝐥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𝐦𝐢𝐧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(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𝟏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𝐭𝐨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𝐥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𝐜𝐚𝐩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𝐧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𝐥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𝐦𝐢𝐧</m:t>
                              </m:r>
                            </m:sub>
                          </m:sSub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71" name="TextBox 210">
                <a:extLst>
                  <a:ext uri="{FF2B5EF4-FFF2-40B4-BE49-F238E27FC236}">
                    <a16:creationId xmlns:a16="http://schemas.microsoft.com/office/drawing/2014/main" id="{910F9C18-2B64-475E-AD7F-93E457540D69}"/>
                  </a:ext>
                </a:extLst>
              </xdr:cNvPr>
              <xdr:cNvSpPr txBox="1"/>
            </xdr:nvSpPr>
            <xdr:spPr>
              <a:xfrm>
                <a:off x="23709862" y="49480909"/>
                <a:ext cx="2747329" cy="21461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 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𝐂𝐚𝐩_(𝐧,𝐩𝐥)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≥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𝐂𝐚𝐩_(𝐧,𝐩𝐥,𝐦𝐢𝐧)  (𝟏−𝐭𝐨𝐥_(𝐜𝐚𝐩,𝐧,𝐩𝐥_𝐦𝐢𝐧 ))</a:t>
                </a:r>
                <a:endParaRPr lang="it-IT" sz="1100" b="1" i="0" kern="1200"/>
              </a:p>
            </xdr:txBody>
          </xdr:sp>
        </mc:Fallback>
      </mc:AlternateContent>
    </xdr:grpSp>
    <xdr:clientData/>
  </xdr:twoCellAnchor>
  <xdr:twoCellAnchor>
    <xdr:from>
      <xdr:col>54</xdr:col>
      <xdr:colOff>98564</xdr:colOff>
      <xdr:row>297</xdr:row>
      <xdr:rowOff>6738</xdr:rowOff>
    </xdr:from>
    <xdr:to>
      <xdr:col>64</xdr:col>
      <xdr:colOff>118679</xdr:colOff>
      <xdr:row>318</xdr:row>
      <xdr:rowOff>144392</xdr:rowOff>
    </xdr:to>
    <xdr:grpSp>
      <xdr:nvGrpSpPr>
        <xdr:cNvPr id="493" name="Group 492">
          <a:extLst>
            <a:ext uri="{FF2B5EF4-FFF2-40B4-BE49-F238E27FC236}">
              <a16:creationId xmlns:a16="http://schemas.microsoft.com/office/drawing/2014/main" id="{16DAFEE8-E4A4-0437-24E7-1B8E735D117B}"/>
            </a:ext>
          </a:extLst>
        </xdr:cNvPr>
        <xdr:cNvGrpSpPr/>
      </xdr:nvGrpSpPr>
      <xdr:grpSpPr>
        <a:xfrm>
          <a:off x="23428464" y="49657388"/>
          <a:ext cx="4084115" cy="3604754"/>
          <a:chOff x="23664538" y="48680134"/>
          <a:chExt cx="4150425" cy="3494556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73" name="TextBox 210">
                <a:extLst>
                  <a:ext uri="{FF2B5EF4-FFF2-40B4-BE49-F238E27FC236}">
                    <a16:creationId xmlns:a16="http://schemas.microsoft.com/office/drawing/2014/main" id="{1BD6E2FA-B034-401D-A28B-08BD22C1335A}"/>
                  </a:ext>
                </a:extLst>
              </xdr:cNvPr>
              <xdr:cNvSpPr txBox="1"/>
            </xdr:nvSpPr>
            <xdr:spPr>
              <a:xfrm>
                <a:off x="23681397" y="48680134"/>
                <a:ext cx="4084398" cy="2157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𝐜𝐞𝐦</m:t>
                          </m:r>
                        </m:sub>
                      </m:sSub>
                      <m:r>
                        <a:rPr lang="it-IT" sz="1100" b="0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≤</m:t>
                      </m:r>
                      <m:r>
                        <a:rPr lang="it-IT" sz="1100" b="1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𝐬𝐡𝐚𝐫𝐞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_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𝐦𝐚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𝐱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𝐜𝐞𝐦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𝐭𝐨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𝐥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𝐬𝐡𝐚𝐫𝐞</m:t>
                              </m:r>
                            </m:sub>
                          </m:sSub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𝐦𝐚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𝐱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𝐜𝐞𝐦</m:t>
                              </m:r>
                            </m:sub>
                          </m:sSub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)∙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𝐬𝐮𝐦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𝐜𝐞𝐦</m:t>
                          </m:r>
                        </m:sub>
                      </m:sSub>
                      <m:r>
                        <a:rPr lang="it-IT" sz="1100" b="1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73" name="TextBox 210">
                <a:extLst>
                  <a:ext uri="{FF2B5EF4-FFF2-40B4-BE49-F238E27FC236}">
                    <a16:creationId xmlns:a16="http://schemas.microsoft.com/office/drawing/2014/main" id="{1BD6E2FA-B034-401D-A28B-08BD22C1335A}"/>
                  </a:ext>
                </a:extLst>
              </xdr:cNvPr>
              <xdr:cNvSpPr txBox="1"/>
            </xdr:nvSpPr>
            <xdr:spPr>
              <a:xfrm>
                <a:off x="23681397" y="48680134"/>
                <a:ext cx="4084398" cy="2157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𝐗_(𝐲,𝐜𝐞𝐦)</a:t>
                </a:r>
                <a:r>
                  <a:rPr lang="it-IT" sz="1100" b="0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≤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(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𝐬𝐡𝐚𝐫𝐞_𝐦𝐚𝐱_𝐜𝐞𝐦+𝐭𝐨〖𝐥_𝐬𝐡𝐚𝐫𝐞〗_(𝐦𝐚𝐱_𝐜𝐞𝐦 )  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∙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𝐬𝐮𝐦(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𝐗_(𝐲,𝐜𝐞𝐦)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)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74" name="TextBox 210">
                <a:extLst>
                  <a:ext uri="{FF2B5EF4-FFF2-40B4-BE49-F238E27FC236}">
                    <a16:creationId xmlns:a16="http://schemas.microsoft.com/office/drawing/2014/main" id="{F3C4899F-4B3D-485C-A7DB-2DF48BE8B4BB}"/>
                  </a:ext>
                </a:extLst>
              </xdr:cNvPr>
              <xdr:cNvSpPr txBox="1"/>
            </xdr:nvSpPr>
            <xdr:spPr>
              <a:xfrm>
                <a:off x="23676142" y="48988840"/>
                <a:ext cx="4081223" cy="21894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𝐜𝐞𝐦</m:t>
                          </m:r>
                        </m:sub>
                      </m:sSub>
                      <m:r>
                        <a:rPr lang="it-IT" sz="1100" b="0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≥</m:t>
                      </m:r>
                      <m:r>
                        <a:rPr lang="it-IT" sz="1100" b="1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𝐬𝐡𝐚𝐫𝐞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_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𝐦𝐢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𝐧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𝐜𝐞𝐦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𝐭𝐨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𝐥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𝐬𝐡𝐚𝐫𝐞</m:t>
                              </m:r>
                            </m:sub>
                          </m:sSub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𝐦𝐢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𝐧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𝐜𝐞𝐦</m:t>
                              </m:r>
                            </m:sub>
                          </m:sSub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)∙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𝐬𝐮𝐦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𝐜𝐞𝐦</m:t>
                          </m:r>
                        </m:sub>
                      </m:sSub>
                      <m:r>
                        <a:rPr lang="it-IT" sz="1100" b="1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74" name="TextBox 210">
                <a:extLst>
                  <a:ext uri="{FF2B5EF4-FFF2-40B4-BE49-F238E27FC236}">
                    <a16:creationId xmlns:a16="http://schemas.microsoft.com/office/drawing/2014/main" id="{F3C4899F-4B3D-485C-A7DB-2DF48BE8B4BB}"/>
                  </a:ext>
                </a:extLst>
              </xdr:cNvPr>
              <xdr:cNvSpPr txBox="1"/>
            </xdr:nvSpPr>
            <xdr:spPr>
              <a:xfrm>
                <a:off x="23676142" y="48988840"/>
                <a:ext cx="4081223" cy="21894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𝐗_(𝐲,𝐜𝐞𝐦)</a:t>
                </a:r>
                <a:r>
                  <a:rPr lang="it-IT" sz="1100" b="0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≥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(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𝐬𝐡𝐚𝐫𝐞_𝐦𝐢𝐧_𝐜𝐞𝐦−𝐭𝐨〖𝐥_𝐬𝐡𝐚𝐫𝐞〗_(𝐦𝐢𝐧_𝐜𝐞𝐦 )  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∙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𝐬𝐮𝐦(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𝐗_(𝐲,𝐜𝐞𝐦)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)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75" name="TextBox 210">
                <a:extLst>
                  <a:ext uri="{FF2B5EF4-FFF2-40B4-BE49-F238E27FC236}">
                    <a16:creationId xmlns:a16="http://schemas.microsoft.com/office/drawing/2014/main" id="{7CB5EAC0-D7EB-4463-B4A1-E4244FD7FEF6}"/>
                  </a:ext>
                </a:extLst>
              </xdr:cNvPr>
              <xdr:cNvSpPr txBox="1"/>
            </xdr:nvSpPr>
            <xdr:spPr>
              <a:xfrm>
                <a:off x="23690498" y="49641738"/>
                <a:ext cx="4087573" cy="2157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𝐡𝐭</m:t>
                          </m:r>
                        </m:sub>
                      </m:sSub>
                      <m:r>
                        <a:rPr lang="it-IT" sz="1100" b="0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≥</m:t>
                      </m:r>
                      <m:r>
                        <a:rPr lang="it-IT" sz="1100" b="1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𝐬𝐡𝐚𝐫𝐞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_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𝐦𝐢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𝐧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𝐡𝐭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𝐭𝐨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𝐥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𝐬𝐡𝐚𝐫𝐞</m:t>
                              </m:r>
                            </m:sub>
                          </m:sSub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𝐦𝐢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𝐧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𝐡𝐭</m:t>
                              </m:r>
                            </m:sub>
                          </m:sSub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)∙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𝐬𝐮𝐦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𝐡𝐭</m:t>
                          </m:r>
                        </m:sub>
                      </m:sSub>
                      <m:r>
                        <a:rPr lang="it-IT" sz="1100" b="1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75" name="TextBox 210">
                <a:extLst>
                  <a:ext uri="{FF2B5EF4-FFF2-40B4-BE49-F238E27FC236}">
                    <a16:creationId xmlns:a16="http://schemas.microsoft.com/office/drawing/2014/main" id="{7CB5EAC0-D7EB-4463-B4A1-E4244FD7FEF6}"/>
                  </a:ext>
                </a:extLst>
              </xdr:cNvPr>
              <xdr:cNvSpPr txBox="1"/>
            </xdr:nvSpPr>
            <xdr:spPr>
              <a:xfrm>
                <a:off x="23690498" y="49641738"/>
                <a:ext cx="4087573" cy="2157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𝐗_(𝐲,𝐡𝐭)</a:t>
                </a:r>
                <a:r>
                  <a:rPr lang="it-IT" sz="1100" b="0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≥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(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𝐬𝐡𝐚𝐫𝐞_𝐦𝐢𝐧_𝐡𝐭−𝐭𝐨〖𝐥_𝐬𝐡𝐚𝐫𝐞〗_(𝐦𝐢𝐧_𝐡𝐭 )  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∙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𝐬𝐮𝐦(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+mn-lt"/>
                    <a:ea typeface="+mn-ea"/>
                    <a:cs typeface="+mn-cs"/>
                  </a:rPr>
                  <a:t>𝐗_(𝐲,𝐡𝐭)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)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83" name="TextBox 210">
                <a:extLst>
                  <a:ext uri="{FF2B5EF4-FFF2-40B4-BE49-F238E27FC236}">
                    <a16:creationId xmlns:a16="http://schemas.microsoft.com/office/drawing/2014/main" id="{60561844-3B0C-4364-AAA0-E8A3D94476CF}"/>
                  </a:ext>
                </a:extLst>
              </xdr:cNvPr>
              <xdr:cNvSpPr txBox="1"/>
            </xdr:nvSpPr>
            <xdr:spPr>
              <a:xfrm>
                <a:off x="23664538" y="49320753"/>
                <a:ext cx="4090748" cy="2157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𝐡𝐭</m:t>
                          </m:r>
                        </m:sub>
                      </m:sSub>
                      <m:r>
                        <a:rPr lang="it-IT" sz="1100" b="0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≤</m:t>
                      </m:r>
                      <m:r>
                        <a:rPr lang="it-IT" sz="1100" b="1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𝐬𝐡𝐚𝐫𝐞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_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𝐦𝐚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𝐱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𝐡𝐭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𝐭𝐨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𝐥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𝐬𝐡𝐚𝐫𝐞</m:t>
                              </m:r>
                            </m:sub>
                          </m:sSub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𝐦𝐚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𝐱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𝐡𝐭</m:t>
                              </m:r>
                            </m:sub>
                          </m:sSub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)∙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𝐬𝐮𝐦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𝐡𝐭</m:t>
                          </m:r>
                        </m:sub>
                      </m:sSub>
                      <m:r>
                        <a:rPr lang="it-IT" sz="1100" b="1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83" name="TextBox 210">
                <a:extLst>
                  <a:ext uri="{FF2B5EF4-FFF2-40B4-BE49-F238E27FC236}">
                    <a16:creationId xmlns:a16="http://schemas.microsoft.com/office/drawing/2014/main" id="{60561844-3B0C-4364-AAA0-E8A3D94476CF}"/>
                  </a:ext>
                </a:extLst>
              </xdr:cNvPr>
              <xdr:cNvSpPr txBox="1"/>
            </xdr:nvSpPr>
            <xdr:spPr>
              <a:xfrm>
                <a:off x="23664538" y="49320753"/>
                <a:ext cx="4090748" cy="2157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𝐗_(𝐲,𝐡𝐭)</a:t>
                </a:r>
                <a:r>
                  <a:rPr lang="it-IT" sz="1100" b="0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≤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(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𝐬𝐡𝐚𝐫𝐞_𝐦𝐚𝐱_𝐡𝐭+𝐭𝐨〖𝐥_𝐬𝐡𝐚𝐫𝐞〗_(𝐦𝐚𝐱_𝐡𝐭 )  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∙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𝐬𝐮𝐦(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𝐗_(𝐲,𝐡𝐭)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)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84" name="TextBox 210">
                <a:extLst>
                  <a:ext uri="{FF2B5EF4-FFF2-40B4-BE49-F238E27FC236}">
                    <a16:creationId xmlns:a16="http://schemas.microsoft.com/office/drawing/2014/main" id="{2FE916F0-4F8D-4BC1-86F4-3F28A0D1D398}"/>
                  </a:ext>
                </a:extLst>
              </xdr:cNvPr>
              <xdr:cNvSpPr txBox="1"/>
            </xdr:nvSpPr>
            <xdr:spPr>
              <a:xfrm>
                <a:off x="23684572" y="49961373"/>
                <a:ext cx="4090748" cy="2157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𝐥𝐭</m:t>
                          </m:r>
                        </m:sub>
                      </m:sSub>
                      <m:r>
                        <a:rPr lang="it-IT" sz="1100" b="0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≤</m:t>
                      </m:r>
                      <m:r>
                        <a:rPr lang="it-IT" sz="1100" b="1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𝐬𝐡𝐚𝐫𝐞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_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𝐦𝐚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𝐱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𝐥𝐭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𝐭𝐨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𝐥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𝐬𝐡𝐚𝐫𝐞</m:t>
                              </m:r>
                            </m:sub>
                          </m:sSub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𝐦𝐚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𝐱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𝐥𝐭</m:t>
                              </m:r>
                            </m:sub>
                          </m:sSub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)∙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𝐬𝐮𝐦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𝐥𝐭</m:t>
                          </m:r>
                        </m:sub>
                      </m:sSub>
                      <m:r>
                        <a:rPr lang="it-IT" sz="1100" b="1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84" name="TextBox 210">
                <a:extLst>
                  <a:ext uri="{FF2B5EF4-FFF2-40B4-BE49-F238E27FC236}">
                    <a16:creationId xmlns:a16="http://schemas.microsoft.com/office/drawing/2014/main" id="{2FE916F0-4F8D-4BC1-86F4-3F28A0D1D398}"/>
                  </a:ext>
                </a:extLst>
              </xdr:cNvPr>
              <xdr:cNvSpPr txBox="1"/>
            </xdr:nvSpPr>
            <xdr:spPr>
              <a:xfrm>
                <a:off x="23684572" y="49961373"/>
                <a:ext cx="4090748" cy="2157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𝐗_(𝐲,𝐥𝐭)</a:t>
                </a:r>
                <a:r>
                  <a:rPr lang="it-IT" sz="1100" b="0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≤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(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𝐬𝐡𝐚𝐫𝐞_𝐦𝐚𝐱_𝐥𝐭+𝐭𝐨〖𝐥_𝐬𝐡𝐚𝐫𝐞〗_(𝐦𝐚𝐱_𝐥𝐭 )  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∙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𝐬𝐮𝐦(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𝐗_(𝐲,𝐥𝐭)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)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86" name="TextBox 210">
                <a:extLst>
                  <a:ext uri="{FF2B5EF4-FFF2-40B4-BE49-F238E27FC236}">
                    <a16:creationId xmlns:a16="http://schemas.microsoft.com/office/drawing/2014/main" id="{11EB2A3E-8204-41DC-9ED2-C90B89DA0A65}"/>
                  </a:ext>
                </a:extLst>
              </xdr:cNvPr>
              <xdr:cNvSpPr txBox="1"/>
            </xdr:nvSpPr>
            <xdr:spPr>
              <a:xfrm>
                <a:off x="23685244" y="50282357"/>
                <a:ext cx="4087573" cy="27075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𝐥𝐭</m:t>
                          </m:r>
                        </m:sub>
                      </m:sSub>
                      <m:r>
                        <a:rPr lang="it-IT" sz="1100" b="0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≥</m:t>
                      </m:r>
                      <m:r>
                        <a:rPr lang="it-IT" sz="1100" b="1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𝐬𝐡𝐚𝐫𝐞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_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𝐦𝐢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𝐧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𝐥𝐭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𝐭𝐨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𝐥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𝐬𝐡𝐚𝐫𝐞</m:t>
                              </m:r>
                            </m:sub>
                          </m:sSub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𝐦𝐢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𝐧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𝐥𝐭</m:t>
                              </m:r>
                            </m:sub>
                          </m:sSub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)∙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𝐬𝐮𝐦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𝐥𝐭</m:t>
                          </m:r>
                        </m:sub>
                      </m:sSub>
                      <m:r>
                        <a:rPr lang="it-IT" sz="1100" b="1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86" name="TextBox 210">
                <a:extLst>
                  <a:ext uri="{FF2B5EF4-FFF2-40B4-BE49-F238E27FC236}">
                    <a16:creationId xmlns:a16="http://schemas.microsoft.com/office/drawing/2014/main" id="{11EB2A3E-8204-41DC-9ED2-C90B89DA0A65}"/>
                  </a:ext>
                </a:extLst>
              </xdr:cNvPr>
              <xdr:cNvSpPr txBox="1"/>
            </xdr:nvSpPr>
            <xdr:spPr>
              <a:xfrm>
                <a:off x="23685244" y="50282357"/>
                <a:ext cx="4087573" cy="27075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𝐗_(𝐲,𝐥𝐭)</a:t>
                </a:r>
                <a:r>
                  <a:rPr lang="it-IT" sz="1100" b="0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≥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(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𝐬𝐡𝐚𝐫𝐞_𝐦𝐢𝐧_𝐥𝐭−𝐭𝐨〖𝐥_𝐬𝐡𝐚𝐫𝐞〗_(𝐦𝐢𝐧_𝐥𝐭 )  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∙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𝐬𝐮𝐦(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+mn-lt"/>
                    <a:ea typeface="+mn-ea"/>
                    <a:cs typeface="+mn-cs"/>
                  </a:rPr>
                  <a:t>𝐗_(𝐲,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𝐥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+mn-lt"/>
                    <a:ea typeface="+mn-ea"/>
                    <a:cs typeface="+mn-cs"/>
                  </a:rPr>
                  <a:t>𝐭)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)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88" name="TextBox 210">
                <a:extLst>
                  <a:ext uri="{FF2B5EF4-FFF2-40B4-BE49-F238E27FC236}">
                    <a16:creationId xmlns:a16="http://schemas.microsoft.com/office/drawing/2014/main" id="{EA20295A-784F-420C-A82F-6F657C84DC83}"/>
                  </a:ext>
                </a:extLst>
              </xdr:cNvPr>
              <xdr:cNvSpPr txBox="1"/>
            </xdr:nvSpPr>
            <xdr:spPr>
              <a:xfrm>
                <a:off x="23701430" y="50610422"/>
                <a:ext cx="4090748" cy="28510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𝐩𝐨𝐰𝐞𝐫</m:t>
                          </m:r>
                        </m:sub>
                      </m:sSub>
                      <m:r>
                        <a:rPr lang="it-IT" sz="1100" b="0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≤</m:t>
                      </m:r>
                      <m:r>
                        <a:rPr lang="it-IT" sz="1100" b="1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𝐬𝐡𝐚𝐫𝐞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_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𝐦𝐚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𝐱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𝐩𝐨𝐰𝐞𝐫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𝐭𝐨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𝐥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𝐬𝐡𝐚𝐫𝐞</m:t>
                              </m:r>
                            </m:sub>
                          </m:sSub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𝐦𝐚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𝐱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𝐩𝐨𝐰𝐞𝐫</m:t>
                              </m:r>
                            </m:sub>
                          </m:sSub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)∙(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𝐩𝐨𝐰𝐞𝐫</m:t>
                          </m:r>
                        </m:sub>
                      </m:sSub>
                      <m:sSub>
                        <m:sSubPr>
                          <m:ctrlPr>
                            <a:rPr lang="it-IT" sz="1100" b="1" i="1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</m:t>
                          </m:r>
                          <m:r>
                            <a:rPr lang="it-IT" sz="1100" b="1" i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sub>
                      </m:sSub>
                      <m:r>
                        <a:rPr lang="it-IT" sz="1100" b="1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88" name="TextBox 210">
                <a:extLst>
                  <a:ext uri="{FF2B5EF4-FFF2-40B4-BE49-F238E27FC236}">
                    <a16:creationId xmlns:a16="http://schemas.microsoft.com/office/drawing/2014/main" id="{EA20295A-784F-420C-A82F-6F657C84DC83}"/>
                  </a:ext>
                </a:extLst>
              </xdr:cNvPr>
              <xdr:cNvSpPr txBox="1"/>
            </xdr:nvSpPr>
            <xdr:spPr>
              <a:xfrm>
                <a:off x="23701430" y="50610422"/>
                <a:ext cx="4090748" cy="28510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𝐗_(𝐲,𝐩𝐨𝐰𝐞𝐫)</a:t>
                </a:r>
                <a:r>
                  <a:rPr lang="it-IT" sz="1100" b="0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≤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(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𝐬𝐡𝐚𝐫𝐞_𝐦𝐚𝐱_𝐩𝐨𝐰𝐞𝐫+𝐭𝐨〖𝐥_𝐬𝐡𝐚𝐫𝐞〗_(𝐦𝐚𝐱_𝐩𝐨𝐰𝐞𝐫 )  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∙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(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𝐗_(𝐲,𝐩𝐨𝐰𝐞𝐫)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𝐢_(𝐭,𝐩))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89" name="TextBox 210">
                <a:extLst>
                  <a:ext uri="{FF2B5EF4-FFF2-40B4-BE49-F238E27FC236}">
                    <a16:creationId xmlns:a16="http://schemas.microsoft.com/office/drawing/2014/main" id="{3BD996EB-C7F1-43FC-B21B-4042D1845709}"/>
                  </a:ext>
                </a:extLst>
              </xdr:cNvPr>
              <xdr:cNvSpPr txBox="1"/>
            </xdr:nvSpPr>
            <xdr:spPr>
              <a:xfrm>
                <a:off x="23710532" y="50928231"/>
                <a:ext cx="4084398" cy="26757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𝐩𝐨𝐰𝐞𝐫</m:t>
                          </m:r>
                        </m:sub>
                      </m:sSub>
                      <m:r>
                        <a:rPr lang="it-IT" sz="1100" b="0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≥</m:t>
                      </m:r>
                      <m:r>
                        <a:rPr lang="it-IT" sz="1100" b="1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𝐬𝐡𝐚𝐫𝐞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_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𝐦𝐢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𝐧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𝐩𝐨𝐰𝐞𝐫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𝐭𝐨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𝐥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𝐬𝐡𝐚𝐫𝐞</m:t>
                              </m:r>
                            </m:sub>
                          </m:sSub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𝐦𝐢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𝐧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𝐩𝐨𝐰𝐞𝐫</m:t>
                              </m:r>
                            </m:sub>
                          </m:sSub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)∙(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𝐩𝐨𝐰𝐞𝐫</m:t>
                          </m:r>
                        </m:sub>
                      </m:sSub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</m:t>
                          </m:r>
                        </m:sub>
                      </m:sSub>
                      <m:r>
                        <a:rPr lang="it-IT" sz="1100" b="1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89" name="TextBox 210">
                <a:extLst>
                  <a:ext uri="{FF2B5EF4-FFF2-40B4-BE49-F238E27FC236}">
                    <a16:creationId xmlns:a16="http://schemas.microsoft.com/office/drawing/2014/main" id="{3BD996EB-C7F1-43FC-B21B-4042D1845709}"/>
                  </a:ext>
                </a:extLst>
              </xdr:cNvPr>
              <xdr:cNvSpPr txBox="1"/>
            </xdr:nvSpPr>
            <xdr:spPr>
              <a:xfrm>
                <a:off x="23710532" y="50928231"/>
                <a:ext cx="4084398" cy="26757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𝐗_(𝐲,𝐩𝐨𝐰𝐞𝐫)</a:t>
                </a:r>
                <a:r>
                  <a:rPr lang="it-IT" sz="1100" b="0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≥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(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𝐬𝐡𝐚𝐫𝐞_𝐦𝐢𝐧_𝐩𝐨𝐰𝐞𝐫−𝐭𝐨〖𝐥_𝐬𝐡𝐚𝐫𝐞〗_(𝐦𝐢𝐧_𝐩𝐨𝐰𝐞𝐫 )  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∙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(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+mn-lt"/>
                    <a:ea typeface="+mn-ea"/>
                    <a:cs typeface="+mn-cs"/>
                  </a:rPr>
                  <a:t>𝐗_(𝐲,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𝐩𝐨𝐰𝐞𝐫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+mn-lt"/>
                    <a:ea typeface="+mn-ea"/>
                    <a:cs typeface="+mn-cs"/>
                  </a:rPr>
                  <a:t>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 𝐢_(𝐭,𝐩)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)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90" name="TextBox 210">
                <a:extLst>
                  <a:ext uri="{FF2B5EF4-FFF2-40B4-BE49-F238E27FC236}">
                    <a16:creationId xmlns:a16="http://schemas.microsoft.com/office/drawing/2014/main" id="{D3B4720E-C5A9-4A76-91E7-772649F7EAD6}"/>
                  </a:ext>
                </a:extLst>
              </xdr:cNvPr>
              <xdr:cNvSpPr txBox="1"/>
            </xdr:nvSpPr>
            <xdr:spPr>
              <a:xfrm>
                <a:off x="23723543" y="51247866"/>
                <a:ext cx="4090748" cy="22212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𝐬𝐭𝐥</m:t>
                          </m:r>
                        </m:sub>
                      </m:sSub>
                      <m:r>
                        <a:rPr lang="it-IT" sz="1100" b="0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≤</m:t>
                      </m:r>
                      <m:r>
                        <a:rPr lang="it-IT" sz="1100" b="1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𝐬𝐡𝐚𝐫𝐞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_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𝐦𝐚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𝐱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𝐬𝐭𝐥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𝐭𝐨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𝐥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𝐬𝐡𝐚𝐫𝐞</m:t>
                              </m:r>
                            </m:sub>
                          </m:sSub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𝐦𝐚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𝐱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𝐬𝐭𝐥</m:t>
                              </m:r>
                            </m:sub>
                          </m:sSub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)∙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𝐬𝐮𝐦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𝐬𝐭𝐥</m:t>
                          </m:r>
                        </m:sub>
                      </m:sSub>
                      <m:r>
                        <a:rPr lang="it-IT" sz="1100" b="1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90" name="TextBox 210">
                <a:extLst>
                  <a:ext uri="{FF2B5EF4-FFF2-40B4-BE49-F238E27FC236}">
                    <a16:creationId xmlns:a16="http://schemas.microsoft.com/office/drawing/2014/main" id="{D3B4720E-C5A9-4A76-91E7-772649F7EAD6}"/>
                  </a:ext>
                </a:extLst>
              </xdr:cNvPr>
              <xdr:cNvSpPr txBox="1"/>
            </xdr:nvSpPr>
            <xdr:spPr>
              <a:xfrm>
                <a:off x="23723543" y="51247866"/>
                <a:ext cx="4090748" cy="22212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𝐗_(𝐲,𝐬𝐭𝐥)</a:t>
                </a:r>
                <a:r>
                  <a:rPr lang="it-IT" sz="1100" b="0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≤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(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𝐬𝐡𝐚𝐫𝐞_𝐦𝐚𝐱_𝐬𝐭𝐥+𝐭𝐨〖𝐥_𝐬𝐡𝐚𝐫𝐞〗_(𝐦𝐚𝐱_𝐬𝐭𝐥 )  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∙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𝐬𝐮𝐦(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𝐗_(𝐲,𝐬𝐭𝐥)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)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91" name="TextBox 210">
                <a:extLst>
                  <a:ext uri="{FF2B5EF4-FFF2-40B4-BE49-F238E27FC236}">
                    <a16:creationId xmlns:a16="http://schemas.microsoft.com/office/drawing/2014/main" id="{AE14F778-323B-4027-92F3-5405461C23A9}"/>
                  </a:ext>
                </a:extLst>
              </xdr:cNvPr>
              <xdr:cNvSpPr txBox="1"/>
            </xdr:nvSpPr>
            <xdr:spPr>
              <a:xfrm>
                <a:off x="23721040" y="51563594"/>
                <a:ext cx="4093923" cy="32132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𝐬𝐭𝐥</m:t>
                          </m:r>
                        </m:sub>
                      </m:sSub>
                      <m:r>
                        <a:rPr lang="it-IT" sz="1100" b="0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≥</m:t>
                      </m:r>
                      <m:r>
                        <a:rPr lang="it-IT" sz="1100" b="1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𝐬𝐡𝐚𝐫𝐞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_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𝐦𝐢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𝐧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𝐬𝐭𝐥</m:t>
                          </m:r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𝐭𝐨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𝐥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𝐬𝐡𝐚𝐫𝐞</m:t>
                              </m:r>
                            </m:sub>
                          </m:sSub>
                        </m:e>
                        <m:sub>
                          <m:r>
                            <a:rPr lang="it-IT" sz="1100" b="1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𝐦𝐢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𝐧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𝐬𝐭𝐥</m:t>
                              </m:r>
                            </m:sub>
                          </m:sSub>
                        </m:sub>
                      </m:sSub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)∙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𝐬𝐮𝐦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𝐬𝐭𝐥</m:t>
                          </m:r>
                        </m:sub>
                      </m:sSub>
                      <m:r>
                        <a:rPr lang="it-IT" sz="1100" b="1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91" name="TextBox 210">
                <a:extLst>
                  <a:ext uri="{FF2B5EF4-FFF2-40B4-BE49-F238E27FC236}">
                    <a16:creationId xmlns:a16="http://schemas.microsoft.com/office/drawing/2014/main" id="{AE14F778-323B-4027-92F3-5405461C23A9}"/>
                  </a:ext>
                </a:extLst>
              </xdr:cNvPr>
              <xdr:cNvSpPr txBox="1"/>
            </xdr:nvSpPr>
            <xdr:spPr>
              <a:xfrm>
                <a:off x="23721040" y="51563594"/>
                <a:ext cx="4093923" cy="32132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𝐗_(𝐲,𝐬𝐭𝐥)</a:t>
                </a:r>
                <a:r>
                  <a:rPr lang="it-IT" sz="1100" b="0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≥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(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𝐬𝐡𝐚𝐫𝐞_𝐦𝐢𝐧_𝐬𝐭𝐥−𝐭𝐨〖𝐥_𝐬𝐡𝐚𝐫𝐞〗_(𝐦𝐢𝐧_𝐬𝐭𝐥 )  )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∙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𝐬𝐮𝐦(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+mn-lt"/>
                    <a:ea typeface="+mn-ea"/>
                    <a:cs typeface="+mn-cs"/>
                  </a:rPr>
                  <a:t>𝐗_(𝐲,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𝐬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+mn-lt"/>
                    <a:ea typeface="+mn-ea"/>
                    <a:cs typeface="+mn-cs"/>
                  </a:rPr>
                  <a:t>𝐭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𝐥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+mn-lt"/>
                    <a:ea typeface="+mn-ea"/>
                    <a:cs typeface="+mn-cs"/>
                  </a:rPr>
                  <a:t>)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)</a:t>
                </a:r>
                <a:endParaRPr lang="it-IT" sz="1100" b="1" i="0" kern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92" name="TextBox 210">
                <a:extLst>
                  <a:ext uri="{FF2B5EF4-FFF2-40B4-BE49-F238E27FC236}">
                    <a16:creationId xmlns:a16="http://schemas.microsoft.com/office/drawing/2014/main" id="{E6DABFC1-794C-4A2B-B352-A49AEDFA7198}"/>
                  </a:ext>
                </a:extLst>
              </xdr:cNvPr>
              <xdr:cNvSpPr txBox="1"/>
            </xdr:nvSpPr>
            <xdr:spPr>
              <a:xfrm>
                <a:off x="23718961" y="51900764"/>
                <a:ext cx="4078048" cy="2739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𝐩𝐨𝐰𝐞</m:t>
                          </m:r>
                          <m:sSub>
                            <m:sSubPr>
                              <m:ctrlPr>
                                <a:rPr lang="it-IT" sz="1100" b="1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𝐫</m:t>
                              </m:r>
                            </m:e>
                            <m:sub>
                              <m:r>
                                <a:rPr lang="it-IT" sz="1100" b="1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𝐫𝐞𝐬</m:t>
                              </m:r>
                            </m:sub>
                          </m:sSub>
                        </m:sub>
                      </m:sSub>
                      <m:sSub>
                        <m:sSubPr>
                          <m:ctrlPr>
                            <a:rPr lang="it-IT" sz="1100" b="1" i="1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𝐭𝐢</m:t>
                          </m:r>
                          <m:r>
                            <a:rPr lang="it-IT" sz="1100" b="1" i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𝐫𝐞𝐬</m:t>
                          </m:r>
                        </m:sub>
                      </m:sSub>
                      <m:r>
                        <a:rPr lang="it-IT" sz="1100" b="0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≥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𝐫𝐞𝐬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_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𝐦𝐢𝐧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∙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𝐬𝐮𝐦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𝐩𝐨𝐰𝐞𝐫</m:t>
                          </m:r>
                        </m:sub>
                      </m:sSub>
                      <m:r>
                        <a:rPr lang="it-IT" sz="1100" b="1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oMath>
                  </m:oMathPara>
                </a14:m>
                <a:endParaRPr lang="it-IT" sz="1100" b="1" i="0" kern="1200"/>
              </a:p>
            </xdr:txBody>
          </xdr:sp>
        </mc:Choice>
        <mc:Fallback xmlns="">
          <xdr:sp macro="" textlink="">
            <xdr:nvSpPr>
              <xdr:cNvPr id="492" name="TextBox 210">
                <a:extLst>
                  <a:ext uri="{FF2B5EF4-FFF2-40B4-BE49-F238E27FC236}">
                    <a16:creationId xmlns:a16="http://schemas.microsoft.com/office/drawing/2014/main" id="{E6DABFC1-794C-4A2B-B352-A49AEDFA7198}"/>
                  </a:ext>
                </a:extLst>
              </xdr:cNvPr>
              <xdr:cNvSpPr txBox="1"/>
            </xdr:nvSpPr>
            <xdr:spPr>
              <a:xfrm>
                <a:off x="23718961" y="51900764"/>
                <a:ext cx="4078048" cy="2739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𝐗_(𝐲,𝐩𝐨𝐰𝐞𝐫_𝐫𝐞𝐬 )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𝐢_(𝐭𝐢,𝐫𝐞𝐬)</a:t>
                </a:r>
                <a:r>
                  <a:rPr lang="it-IT" sz="1100" b="0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≥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𝐫𝐞𝐬_𝐦𝐢𝐧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∙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𝐬𝐮𝐦(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+mn-lt"/>
                    <a:ea typeface="+mn-ea"/>
                    <a:cs typeface="+mn-cs"/>
                  </a:rPr>
                  <a:t>𝐗_(𝐲,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𝐩𝐨𝐰𝐞𝐫</a:t>
                </a:r>
                <a:r>
                  <a:rPr lang="it-IT" sz="1100" b="1" i="0">
                    <a:solidFill>
                      <a:srgbClr val="FF0000"/>
                    </a:solidFill>
                    <a:effectLst/>
                    <a:latin typeface="+mn-lt"/>
                    <a:ea typeface="+mn-ea"/>
                    <a:cs typeface="+mn-cs"/>
                  </a:rPr>
                  <a:t>)</a:t>
                </a:r>
                <a:r>
                  <a:rPr lang="it-IT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)</a:t>
                </a:r>
                <a:endParaRPr lang="it-IT" sz="1100" b="1" i="0" kern="1200"/>
              </a:p>
            </xdr:txBody>
          </xdr:sp>
        </mc:Fallback>
      </mc:AlternateContent>
    </xdr:grpSp>
    <xdr:clientData/>
  </xdr:twoCellAnchor>
  <xdr:twoCellAnchor>
    <xdr:from>
      <xdr:col>54</xdr:col>
      <xdr:colOff>73407</xdr:colOff>
      <xdr:row>109</xdr:row>
      <xdr:rowOff>117322</xdr:rowOff>
    </xdr:from>
    <xdr:to>
      <xdr:col>59</xdr:col>
      <xdr:colOff>85389</xdr:colOff>
      <xdr:row>115</xdr:row>
      <xdr:rowOff>42117</xdr:rowOff>
    </xdr:to>
    <xdr:grpSp>
      <xdr:nvGrpSpPr>
        <xdr:cNvPr id="497" name="Group 496">
          <a:extLst>
            <a:ext uri="{FF2B5EF4-FFF2-40B4-BE49-F238E27FC236}">
              <a16:creationId xmlns:a16="http://schemas.microsoft.com/office/drawing/2014/main" id="{FCE20B0A-9707-4FBE-D1A1-AC55B0E846FD}"/>
            </a:ext>
          </a:extLst>
        </xdr:cNvPr>
        <xdr:cNvGrpSpPr/>
      </xdr:nvGrpSpPr>
      <xdr:grpSpPr>
        <a:xfrm>
          <a:off x="23403307" y="18691072"/>
          <a:ext cx="2043982" cy="915395"/>
          <a:chOff x="23633031" y="18172676"/>
          <a:chExt cx="2077137" cy="885724"/>
        </a:xfrm>
      </xdr:grpSpPr>
      <xdr:grpSp>
        <xdr:nvGrpSpPr>
          <xdr:cNvPr id="495" name="Group 494">
            <a:extLst>
              <a:ext uri="{FF2B5EF4-FFF2-40B4-BE49-F238E27FC236}">
                <a16:creationId xmlns:a16="http://schemas.microsoft.com/office/drawing/2014/main" id="{EF97C88A-F833-F90E-9A62-991D23A89020}"/>
              </a:ext>
            </a:extLst>
          </xdr:cNvPr>
          <xdr:cNvGrpSpPr/>
        </xdr:nvGrpSpPr>
        <xdr:grpSpPr>
          <a:xfrm>
            <a:off x="23633031" y="18172676"/>
            <a:ext cx="1714334" cy="644707"/>
            <a:chOff x="23627778" y="18118917"/>
            <a:chExt cx="1711174" cy="654360"/>
          </a:xfrm>
        </xdr:grpSpPr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46" name="CasellaDiTesto 60">
                  <a:extLst>
                    <a:ext uri="{FF2B5EF4-FFF2-40B4-BE49-F238E27FC236}">
                      <a16:creationId xmlns:a16="http://schemas.microsoft.com/office/drawing/2014/main" id="{8B01A957-20DC-C904-99BD-57E11BED7FA4}"/>
                    </a:ext>
                  </a:extLst>
                </xdr:cNvPr>
                <xdr:cNvSpPr txBox="1"/>
              </xdr:nvSpPr>
              <xdr:spPr>
                <a:xfrm>
                  <a:off x="23628131" y="18118917"/>
                  <a:ext cx="1621598" cy="1851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t">
                  <a:spAutoFit/>
                </a:bodyPr>
                <a:lstStyle/>
                <a:p>
                  <a14:m>
                    <m:oMath xmlns:m="http://schemas.openxmlformats.org/officeDocument/2006/math">
                      <m:r>
                        <a:rPr lang="it-IT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𝐐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𝐲𝐡</m:t>
                          </m:r>
                        </m:sub>
                      </m:sSub>
                      <m:r>
                        <a:rPr lang="it-IT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  <m:t>𝐡</m:t>
                          </m:r>
                        </m:sub>
                      </m:sSub>
                      <m:r>
                        <a:rPr lang="it-IT" sz="1100" b="1" i="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′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𝐐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</m:t>
                          </m:r>
                        </m:sub>
                      </m:sSub>
                      <m:r>
                        <a:rPr lang="it-IT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∙</m:t>
                      </m:r>
                      <m:f>
                        <m:fPr>
                          <m:type m:val="lin"/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8760</m:t>
                          </m:r>
                        </m:num>
                        <m:den>
                          <m:r>
                            <m:rPr>
                              <m:sty m:val="p"/>
                            </m:rP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p</m:t>
                          </m:r>
                          <m:sSub>
                            <m:sSubPr>
                              <m:ctrlPr>
                                <a:rPr lang="it-IT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m:rPr>
                                  <m:sty m:val="p"/>
                                </m:rPr>
                                <a:rPr lang="it-IT" sz="11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l</m:t>
                              </m:r>
                            </m:e>
                            <m:sub>
                              <m:r>
                                <m:rPr>
                                  <m:sty m:val="p"/>
                                </m:rPr>
                                <a:rPr lang="it-IT" sz="11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h</m:t>
                              </m:r>
                            </m:sub>
                          </m:sSub>
                        </m:den>
                      </m:f>
                    </m:oMath>
                  </a14:m>
                  <a:r>
                    <a:rPr lang="it-IT" sz="1100" b="0" i="0">
                      <a:solidFill>
                        <a:sysClr val="windowText" lastClr="000000"/>
                      </a:solidFill>
                    </a:rPr>
                    <a:t> </a:t>
                  </a:r>
                </a:p>
              </xdr:txBody>
            </xdr:sp>
          </mc:Choice>
          <mc:Fallback xmlns="">
            <xdr:sp macro="" textlink="">
              <xdr:nvSpPr>
                <xdr:cNvPr id="46" name="CasellaDiTesto 60">
                  <a:extLst>
                    <a:ext uri="{FF2B5EF4-FFF2-40B4-BE49-F238E27FC236}">
                      <a16:creationId xmlns:a16="http://schemas.microsoft.com/office/drawing/2014/main" id="{8B01A957-20DC-C904-99BD-57E11BED7FA4}"/>
                    </a:ext>
                  </a:extLst>
                </xdr:cNvPr>
                <xdr:cNvSpPr txBox="1"/>
              </xdr:nvSpPr>
              <xdr:spPr>
                <a:xfrm>
                  <a:off x="23628131" y="18118917"/>
                  <a:ext cx="1621598" cy="1851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t">
                  <a:spAutoFit/>
                </a:bodyPr>
                <a:lstStyle/>
                <a:p>
                  <a:r>
                    <a:rPr lang="it-IT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0: </a:t>
                  </a:r>
                  <a:r>
                    <a:rPr lang="it-IT" sz="1100" b="1" i="0">
                      <a:solidFill>
                        <a:srgbClr val="FF0000"/>
                      </a:solidFill>
                      <a:latin typeface="Cambria Math" panose="02040503050406030204" pitchFamily="18" charset="0"/>
                    </a:rPr>
                    <a:t>𝐐_𝐲𝐡</a:t>
                  </a:r>
                  <a:r>
                    <a:rPr lang="it-IT" sz="1100" b="1" i="0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</a:rPr>
                    <a:t>=𝐢_𝐡′</a:t>
                  </a:r>
                  <a:r>
                    <a:rPr lang="it-IT" sz="1100" b="1" i="0">
                      <a:solidFill>
                        <a:srgbClr val="FF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𝐐_𝐡</a:t>
                  </a:r>
                  <a:r>
                    <a:rPr lang="it-IT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a:t>∙</a:t>
                  </a:r>
                  <a:r>
                    <a:rPr lang="it-IT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8760</a:t>
                  </a:r>
                  <a:r>
                    <a:rPr lang="it-IT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∕〖</a:t>
                  </a:r>
                  <a:r>
                    <a:rPr lang="it-IT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pl_h</a:t>
                  </a:r>
                  <a:r>
                    <a:rPr lang="it-IT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 〗</a:t>
                  </a:r>
                  <a:r>
                    <a:rPr lang="it-IT" sz="1100" b="0" i="0">
                      <a:solidFill>
                        <a:sysClr val="windowText" lastClr="000000"/>
                      </a:solidFill>
                    </a:rPr>
                    <a:t> </a:t>
                  </a: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49" name="CasellaDiTesto 60">
                  <a:extLst>
                    <a:ext uri="{FF2B5EF4-FFF2-40B4-BE49-F238E27FC236}">
                      <a16:creationId xmlns:a16="http://schemas.microsoft.com/office/drawing/2014/main" id="{492F86DA-876E-6357-7A1B-142C910D7AE4}"/>
                    </a:ext>
                  </a:extLst>
                </xdr:cNvPr>
                <xdr:cNvSpPr txBox="1"/>
              </xdr:nvSpPr>
              <xdr:spPr>
                <a:xfrm>
                  <a:off x="23628131" y="18337687"/>
                  <a:ext cx="1606850" cy="1851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t">
                  <a:spAutoFit/>
                </a:bodyPr>
                <a:lstStyle/>
                <a:p>
                  <a14:m>
                    <m:oMath xmlns:m="http://schemas.openxmlformats.org/officeDocument/2006/math">
                      <m:r>
                        <a:rPr lang="it-IT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𝐲𝐡</m:t>
                          </m:r>
                        </m:sub>
                      </m:sSub>
                      <m:r>
                        <a:rPr lang="it-IT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  <m:t>𝐡</m:t>
                          </m:r>
                        </m:sub>
                      </m:sSub>
                      <m:r>
                        <a:rPr lang="it-IT" sz="1100" b="1" i="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′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𝐗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𝐡</m:t>
                          </m:r>
                        </m:sub>
                      </m:sSub>
                      <m:r>
                        <a:rPr lang="it-IT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∙</m:t>
                      </m:r>
                      <m:f>
                        <m:fPr>
                          <m:type m:val="lin"/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it-IT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8760</m:t>
                          </m:r>
                        </m:num>
                        <m:den>
                          <m:r>
                            <m:rPr>
                              <m:sty m:val="p"/>
                            </m:rP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p</m:t>
                          </m:r>
                          <m:sSub>
                            <m:sSubPr>
                              <m:ctrlPr>
                                <a:rPr lang="it-IT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m:rPr>
                                  <m:sty m:val="p"/>
                                </m:rPr>
                                <a:rPr lang="it-IT" sz="11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l</m:t>
                              </m:r>
                            </m:e>
                            <m:sub>
                              <m:r>
                                <m:rPr>
                                  <m:sty m:val="p"/>
                                </m:rPr>
                                <a:rPr lang="it-IT" sz="11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h</m:t>
                              </m:r>
                            </m:sub>
                          </m:sSub>
                        </m:den>
                      </m:f>
                    </m:oMath>
                  </a14:m>
                  <a:r>
                    <a:rPr lang="it-IT" sz="1100" b="0" i="0">
                      <a:solidFill>
                        <a:sysClr val="windowText" lastClr="000000"/>
                      </a:solidFill>
                    </a:rPr>
                    <a:t> </a:t>
                  </a:r>
                </a:p>
              </xdr:txBody>
            </xdr:sp>
          </mc:Choice>
          <mc:Fallback xmlns="">
            <xdr:sp macro="" textlink="">
              <xdr:nvSpPr>
                <xdr:cNvPr id="49" name="CasellaDiTesto 60">
                  <a:extLst>
                    <a:ext uri="{FF2B5EF4-FFF2-40B4-BE49-F238E27FC236}">
                      <a16:creationId xmlns:a16="http://schemas.microsoft.com/office/drawing/2014/main" id="{492F86DA-876E-6357-7A1B-142C910D7AE4}"/>
                    </a:ext>
                  </a:extLst>
                </xdr:cNvPr>
                <xdr:cNvSpPr txBox="1"/>
              </xdr:nvSpPr>
              <xdr:spPr>
                <a:xfrm>
                  <a:off x="23628131" y="18337687"/>
                  <a:ext cx="1606850" cy="1851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t">
                  <a:spAutoFit/>
                </a:bodyPr>
                <a:lstStyle/>
                <a:p>
                  <a:r>
                    <a:rPr lang="it-IT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0: </a:t>
                  </a:r>
                  <a:r>
                    <a:rPr lang="it-IT" sz="1100" b="1" i="0">
                      <a:solidFill>
                        <a:srgbClr val="FF0000"/>
                      </a:solidFill>
                      <a:latin typeface="Cambria Math" panose="02040503050406030204" pitchFamily="18" charset="0"/>
                    </a:rPr>
                    <a:t>𝐗_𝐲𝐡</a:t>
                  </a:r>
                  <a:r>
                    <a:rPr lang="it-IT" sz="1100" b="1" i="0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</a:rPr>
                    <a:t>=𝐢_𝐡′</a:t>
                  </a:r>
                  <a:r>
                    <a:rPr lang="it-IT" sz="1100" b="1" i="0">
                      <a:solidFill>
                        <a:srgbClr val="FF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𝐗_𝐡</a:t>
                  </a:r>
                  <a:r>
                    <a:rPr lang="it-IT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a:t>∙</a:t>
                  </a:r>
                  <a:r>
                    <a:rPr lang="it-IT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8760</a:t>
                  </a:r>
                  <a:r>
                    <a:rPr lang="it-IT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∕〖</a:t>
                  </a:r>
                  <a:r>
                    <a:rPr lang="it-IT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pl_h</a:t>
                  </a:r>
                  <a:r>
                    <a:rPr lang="it-IT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 〗</a:t>
                  </a:r>
                  <a:r>
                    <a:rPr lang="it-IT" sz="1100" b="0" i="0">
                      <a:solidFill>
                        <a:sysClr val="windowText" lastClr="000000"/>
                      </a:solidFill>
                    </a:rPr>
                    <a:t> </a:t>
                  </a: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56" name="CasellaDiTesto 60">
                  <a:extLst>
                    <a:ext uri="{FF2B5EF4-FFF2-40B4-BE49-F238E27FC236}">
                      <a16:creationId xmlns:a16="http://schemas.microsoft.com/office/drawing/2014/main" id="{B37E0E18-6A27-7010-4A92-0DD5F343061E}"/>
                    </a:ext>
                  </a:extLst>
                </xdr:cNvPr>
                <xdr:cNvSpPr txBox="1"/>
              </xdr:nvSpPr>
              <xdr:spPr>
                <a:xfrm>
                  <a:off x="23627778" y="18588162"/>
                  <a:ext cx="1711174" cy="1851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t">
                  <a:spAutoFit/>
                </a:bodyPr>
                <a:lstStyle/>
                <a:p>
                  <a14:m>
                    <m:oMath xmlns:m="http://schemas.openxmlformats.org/officeDocument/2006/math">
                      <m:r>
                        <a:rPr lang="it-IT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𝐌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𝐡</m:t>
                          </m:r>
                        </m:sub>
                      </m:sSub>
                      <m:r>
                        <a:rPr lang="it-IT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𝐝𝐩</m:t>
                      </m:r>
                      <m:r>
                        <a:rPr lang="it-IT" sz="11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𝐌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𝐲𝐡</m:t>
                          </m:r>
                        </m:sub>
                      </m:sSub>
                      <m:f>
                        <m:fPr>
                          <m:type m:val="lin"/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it-IT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∙8760</m:t>
                          </m:r>
                        </m:num>
                        <m:den>
                          <m:r>
                            <m:rPr>
                              <m:sty m:val="p"/>
                            </m:rP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p</m:t>
                          </m:r>
                          <m:sSub>
                            <m:sSubPr>
                              <m:ctrlPr>
                                <a:rPr lang="it-IT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m:rPr>
                                  <m:sty m:val="p"/>
                                </m:rPr>
                                <a:rPr lang="it-IT" sz="11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l</m:t>
                              </m:r>
                            </m:e>
                            <m:sub>
                              <m:r>
                                <m:rPr>
                                  <m:sty m:val="p"/>
                                </m:rPr>
                                <a:rPr lang="it-IT" sz="11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h</m:t>
                              </m:r>
                            </m:sub>
                          </m:sSub>
                        </m:den>
                      </m:f>
                    </m:oMath>
                  </a14:m>
                  <a:r>
                    <a:rPr lang="it-IT" sz="1100" b="0" i="0">
                      <a:solidFill>
                        <a:sysClr val="windowText" lastClr="000000"/>
                      </a:solidFill>
                    </a:rPr>
                    <a:t> </a:t>
                  </a:r>
                </a:p>
              </xdr:txBody>
            </xdr:sp>
          </mc:Choice>
          <mc:Fallback xmlns="">
            <xdr:sp macro="" textlink="">
              <xdr:nvSpPr>
                <xdr:cNvPr id="56" name="CasellaDiTesto 60">
                  <a:extLst>
                    <a:ext uri="{FF2B5EF4-FFF2-40B4-BE49-F238E27FC236}">
                      <a16:creationId xmlns:a16="http://schemas.microsoft.com/office/drawing/2014/main" id="{B37E0E18-6A27-7010-4A92-0DD5F343061E}"/>
                    </a:ext>
                  </a:extLst>
                </xdr:cNvPr>
                <xdr:cNvSpPr txBox="1"/>
              </xdr:nvSpPr>
              <xdr:spPr>
                <a:xfrm>
                  <a:off x="23627778" y="18588162"/>
                  <a:ext cx="1711174" cy="1851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t">
                  <a:spAutoFit/>
                </a:bodyPr>
                <a:lstStyle/>
                <a:p>
                  <a:r>
                    <a:rPr lang="it-IT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0: </a:t>
                  </a:r>
                  <a:r>
                    <a:rPr lang="it-IT" sz="1100" b="1" i="0">
                      <a:solidFill>
                        <a:srgbClr val="FF0000"/>
                      </a:solidFill>
                      <a:latin typeface="Cambria Math" panose="02040503050406030204" pitchFamily="18" charset="0"/>
                    </a:rPr>
                    <a:t>𝐌_𝐡</a:t>
                  </a:r>
                  <a:r>
                    <a:rPr lang="it-IT" sz="1100" b="1" i="0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</a:rPr>
                    <a:t>=</a:t>
                  </a:r>
                  <a:r>
                    <a:rPr lang="it-IT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𝐝𝐩 </a:t>
                  </a:r>
                  <a:r>
                    <a:rPr lang="it-IT" sz="1100" b="1" i="0">
                      <a:solidFill>
                        <a:srgbClr val="FF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𝐌_𝐲𝐡</a:t>
                  </a:r>
                  <a:r>
                    <a:rPr lang="it-IT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 </a:t>
                  </a:r>
                  <a:r>
                    <a:rPr lang="it-IT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 </a:t>
                  </a:r>
                  <a:r>
                    <a:rPr lang="it-IT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〖</a:t>
                  </a:r>
                  <a:r>
                    <a:rPr lang="it-IT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∙8760</a:t>
                  </a:r>
                  <a:r>
                    <a:rPr lang="it-IT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〗∕〖</a:t>
                  </a:r>
                  <a:r>
                    <a:rPr lang="it-IT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pl_h</a:t>
                  </a:r>
                  <a:r>
                    <a:rPr lang="it-IT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 〗</a:t>
                  </a:r>
                  <a:r>
                    <a:rPr lang="it-IT" sz="1100" b="0" i="0">
                      <a:solidFill>
                        <a:sysClr val="windowText" lastClr="000000"/>
                      </a:solidFill>
                    </a:rPr>
                    <a:t> </a:t>
                  </a:r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96" name="CasellaDiTesto 60">
                <a:extLst>
                  <a:ext uri="{FF2B5EF4-FFF2-40B4-BE49-F238E27FC236}">
                    <a16:creationId xmlns:a16="http://schemas.microsoft.com/office/drawing/2014/main" id="{41FDD022-F185-4303-929E-516EEC3A36C7}"/>
                  </a:ext>
                </a:extLst>
              </xdr:cNvPr>
              <xdr:cNvSpPr txBox="1"/>
            </xdr:nvSpPr>
            <xdr:spPr>
              <a:xfrm>
                <a:off x="23643013" y="18873285"/>
                <a:ext cx="2067155" cy="18511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sp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it-IT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0:</m:t>
                      </m:r>
                      <m:r>
                        <a:rPr lang="it-IT" sz="1100" b="1" i="0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𝐂𝐔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𝐑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𝐲𝐡</m:t>
                          </m:r>
                        </m:sub>
                      </m:sSub>
                      <m:r>
                        <a:rPr lang="it-IT" sz="1100" b="1" i="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sSubSup>
                        <m:sSubSupPr>
                          <m:ctrlPr>
                            <a:rPr lang="it-IT" sz="1100" b="1" i="1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SupPr>
                        <m:e>
                          <m:r>
                            <a:rPr lang="it-IT" sz="1100" b="1" i="0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  <m:t>𝐢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  <m:t>𝐡</m:t>
                          </m:r>
                        </m:sub>
                        <m:sup>
                          <m:r>
                            <a:rPr lang="it-IT" sz="1100" b="1" i="0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  <m:t>′</m:t>
                          </m:r>
                        </m:sup>
                      </m:sSubSup>
                      <m:r>
                        <a:rPr lang="it-IT" sz="1100" b="1" i="0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𝐂𝐔</m:t>
                      </m:r>
                      <m:sSub>
                        <m:sSubPr>
                          <m:ctrlPr>
                            <a:rPr lang="it-IT" sz="1100" b="1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𝐑</m:t>
                          </m:r>
                        </m:e>
                        <m:sub>
                          <m:r>
                            <a:rPr lang="it-IT" sz="1100" b="1" i="0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𝐡</m:t>
                          </m:r>
                        </m:sub>
                      </m:sSub>
                      <m:r>
                        <a:rPr lang="it-IT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∙</m:t>
                      </m:r>
                      <m:f>
                        <m:fPr>
                          <m:type m:val="lin"/>
                          <m:ctrlPr>
                            <a:rPr lang="it-IT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8760</m:t>
                          </m:r>
                        </m:num>
                        <m:den>
                          <m:r>
                            <m:rPr>
                              <m:sty m:val="p"/>
                            </m:rPr>
                            <a:rPr lang="it-IT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p</m:t>
                          </m:r>
                          <m:sSub>
                            <m:sSubPr>
                              <m:ctrlPr>
                                <a:rPr lang="it-IT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m:rPr>
                                  <m:sty m:val="p"/>
                                </m:rPr>
                                <a:rPr lang="it-IT" sz="11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l</m:t>
                              </m:r>
                            </m:e>
                            <m:sub>
                              <m:r>
                                <m:rPr>
                                  <m:sty m:val="p"/>
                                </m:rPr>
                                <a:rPr lang="it-IT" sz="11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h</m:t>
                              </m:r>
                            </m:sub>
                          </m:sSub>
                        </m:den>
                      </m:f>
                    </m:oMath>
                  </m:oMathPara>
                </a14:m>
                <a:endParaRPr lang="it-IT" sz="1100" b="0" i="0">
                  <a:solidFill>
                    <a:sysClr val="windowText" lastClr="000000"/>
                  </a:solidFill>
                </a:endParaRPr>
              </a:p>
            </xdr:txBody>
          </xdr:sp>
        </mc:Choice>
        <mc:Fallback xmlns="">
          <xdr:sp macro="" textlink="">
            <xdr:nvSpPr>
              <xdr:cNvPr id="496" name="CasellaDiTesto 60">
                <a:extLst>
                  <a:ext uri="{FF2B5EF4-FFF2-40B4-BE49-F238E27FC236}">
                    <a16:creationId xmlns:a16="http://schemas.microsoft.com/office/drawing/2014/main" id="{41FDD022-F185-4303-929E-516EEC3A36C7}"/>
                  </a:ext>
                </a:extLst>
              </xdr:cNvPr>
              <xdr:cNvSpPr txBox="1"/>
            </xdr:nvSpPr>
            <xdr:spPr>
              <a:xfrm>
                <a:off x="23643013" y="18873285"/>
                <a:ext cx="2067155" cy="18511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spAutoFit/>
              </a:bodyPr>
              <a:lstStyle/>
              <a:p>
                <a:pPr/>
                <a:r>
                  <a:rPr lang="it-IT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0:</a:t>
                </a:r>
                <a:r>
                  <a:rPr lang="it-IT" sz="1100" b="1" i="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𝐂𝐔𝐑_𝐲𝐡</a:t>
                </a:r>
                <a:r>
                  <a:rPr lang="it-IT" sz="1100" b="1" i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=𝐢_𝐡^′</a:t>
                </a:r>
                <a:r>
                  <a:rPr lang="it-IT" sz="1100" b="1" i="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 𝐂𝐔𝐑_𝐡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∙8760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∕〖</a:t>
                </a:r>
                <a:r>
                  <a:rPr lang="it-IT" sz="1100" b="0" i="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pl_h</a:t>
                </a:r>
                <a:r>
                  <a:rPr lang="it-IT" sz="1100" b="1" i="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 〗</a:t>
                </a:r>
                <a:endParaRPr lang="it-IT" sz="1100" b="0" i="0">
                  <a:solidFill>
                    <a:sysClr val="windowText" lastClr="000000"/>
                  </a:solidFill>
                </a:endParaRPr>
              </a:p>
            </xdr:txBody>
          </xdr:sp>
        </mc:Fallback>
      </mc:AlternateContent>
    </xdr:grpSp>
    <xdr:clientData/>
  </xdr:twoCellAnchor>
  <xdr:oneCellAnchor>
    <xdr:from>
      <xdr:col>34</xdr:col>
      <xdr:colOff>399682</xdr:colOff>
      <xdr:row>183</xdr:row>
      <xdr:rowOff>107810</xdr:rowOff>
    </xdr:from>
    <xdr:ext cx="243593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8" name="TextBox 497">
              <a:extLst>
                <a:ext uri="{FF2B5EF4-FFF2-40B4-BE49-F238E27FC236}">
                  <a16:creationId xmlns:a16="http://schemas.microsoft.com/office/drawing/2014/main" id="{D66DFCB5-F224-4A00-86BB-A62344DE6223}"/>
                </a:ext>
              </a:extLst>
            </xdr:cNvPr>
            <xdr:cNvSpPr txBox="1"/>
          </xdr:nvSpPr>
          <xdr:spPr>
            <a:xfrm>
              <a:off x="15698686" y="28733385"/>
              <a:ext cx="243593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𝐚</m:t>
                    </m:r>
                    <m:sSub>
                      <m:sSubPr>
                        <m:ctrlPr>
                          <a:rPr lang="it-IT" sz="1100" b="1" i="1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𝐯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𝐲</m:t>
                        </m:r>
                      </m:sub>
                    </m:sSub>
                  </m:oMath>
                </m:oMathPara>
              </a14:m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498" name="TextBox 497">
              <a:extLst>
                <a:ext uri="{FF2B5EF4-FFF2-40B4-BE49-F238E27FC236}">
                  <a16:creationId xmlns:a16="http://schemas.microsoft.com/office/drawing/2014/main" id="{D66DFCB5-F224-4A00-86BB-A62344DE6223}"/>
                </a:ext>
              </a:extLst>
            </xdr:cNvPr>
            <xdr:cNvSpPr txBox="1"/>
          </xdr:nvSpPr>
          <xdr:spPr>
            <a:xfrm>
              <a:off x="15698686" y="28733385"/>
              <a:ext cx="243593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rgbClr val="FF0000"/>
                  </a:solidFill>
                  <a:latin typeface="Cambria Math" panose="02040503050406030204" pitchFamily="18" charset="0"/>
                </a:rPr>
                <a:t>𝐚𝐯_𝐲</a:t>
              </a:r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35</xdr:col>
      <xdr:colOff>31960</xdr:colOff>
      <xdr:row>208</xdr:row>
      <xdr:rowOff>98456</xdr:rowOff>
    </xdr:from>
    <xdr:ext cx="431648" cy="1847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9" name="TextBox 498">
              <a:extLst>
                <a:ext uri="{FF2B5EF4-FFF2-40B4-BE49-F238E27FC236}">
                  <a16:creationId xmlns:a16="http://schemas.microsoft.com/office/drawing/2014/main" id="{F0B8AA4C-2759-40C4-8A8C-E7B7251E77DC}"/>
                </a:ext>
              </a:extLst>
            </xdr:cNvPr>
            <xdr:cNvSpPr txBox="1"/>
          </xdr:nvSpPr>
          <xdr:spPr>
            <a:xfrm>
              <a:off x="15743995" y="32601465"/>
              <a:ext cx="431648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𝐟𝐢𝐱</m:t>
                        </m:r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𝐨𝐩</m:t>
                        </m:r>
                      </m:sub>
                    </m:sSub>
                  </m:oMath>
                </m:oMathPara>
              </a14:m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499" name="TextBox 498">
              <a:extLst>
                <a:ext uri="{FF2B5EF4-FFF2-40B4-BE49-F238E27FC236}">
                  <a16:creationId xmlns:a16="http://schemas.microsoft.com/office/drawing/2014/main" id="{F0B8AA4C-2759-40C4-8A8C-E7B7251E77DC}"/>
                </a:ext>
              </a:extLst>
            </xdr:cNvPr>
            <xdr:cNvSpPr txBox="1"/>
          </xdr:nvSpPr>
          <xdr:spPr>
            <a:xfrm>
              <a:off x="15743995" y="32601465"/>
              <a:ext cx="431648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rgbClr val="FF0000"/>
                  </a:solidFill>
                  <a:latin typeface="Cambria Math" panose="02040503050406030204" pitchFamily="18" charset="0"/>
                </a:rPr>
                <a:t>𝐜_(𝐟𝐢𝐱,𝐨𝐩)</a:t>
              </a:r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35</xdr:col>
      <xdr:colOff>337912</xdr:colOff>
      <xdr:row>208</xdr:row>
      <xdr:rowOff>103710</xdr:rowOff>
    </xdr:from>
    <xdr:ext cx="600906" cy="1856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0" name="TextBox 499">
              <a:extLst>
                <a:ext uri="{FF2B5EF4-FFF2-40B4-BE49-F238E27FC236}">
                  <a16:creationId xmlns:a16="http://schemas.microsoft.com/office/drawing/2014/main" id="{498BB806-6D66-4284-9E28-9BD9E5FFFF32}"/>
                </a:ext>
              </a:extLst>
            </xdr:cNvPr>
            <xdr:cNvSpPr txBox="1"/>
          </xdr:nvSpPr>
          <xdr:spPr>
            <a:xfrm>
              <a:off x="16049947" y="32606719"/>
              <a:ext cx="600906" cy="1856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𝐟𝐢𝐱</m:t>
                        </m:r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𝐨𝐩</m:t>
                        </m:r>
                      </m:sub>
                    </m:sSub>
                  </m:oMath>
                </m:oMathPara>
              </a14:m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500" name="TextBox 499">
              <a:extLst>
                <a:ext uri="{FF2B5EF4-FFF2-40B4-BE49-F238E27FC236}">
                  <a16:creationId xmlns:a16="http://schemas.microsoft.com/office/drawing/2014/main" id="{498BB806-6D66-4284-9E28-9BD9E5FFFF32}"/>
                </a:ext>
              </a:extLst>
            </xdr:cNvPr>
            <xdr:cNvSpPr txBox="1"/>
          </xdr:nvSpPr>
          <xdr:spPr>
            <a:xfrm>
              <a:off x="16049947" y="32606719"/>
              <a:ext cx="600906" cy="1856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𝐜_(𝐟𝐢𝐱,𝐨𝐩)</a:t>
              </a:r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36</xdr:col>
      <xdr:colOff>291731</xdr:colOff>
      <xdr:row>200</xdr:row>
      <xdr:rowOff>164896</xdr:rowOff>
    </xdr:from>
    <xdr:ext cx="664620" cy="1847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1" name="TextBox 500">
              <a:extLst>
                <a:ext uri="{FF2B5EF4-FFF2-40B4-BE49-F238E27FC236}">
                  <a16:creationId xmlns:a16="http://schemas.microsoft.com/office/drawing/2014/main" id="{5FC4AD15-28A7-4B50-AC64-4F93733B947C}"/>
                </a:ext>
              </a:extLst>
            </xdr:cNvPr>
            <xdr:cNvSpPr txBox="1"/>
          </xdr:nvSpPr>
          <xdr:spPr>
            <a:xfrm>
              <a:off x="16416797" y="31529962"/>
              <a:ext cx="664620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𝐂𝐚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𝐩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𝐨𝐩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𝐧𝐬𝐭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501" name="TextBox 500">
              <a:extLst>
                <a:ext uri="{FF2B5EF4-FFF2-40B4-BE49-F238E27FC236}">
                  <a16:creationId xmlns:a16="http://schemas.microsoft.com/office/drawing/2014/main" id="{5FC4AD15-28A7-4B50-AC64-4F93733B947C}"/>
                </a:ext>
              </a:extLst>
            </xdr:cNvPr>
            <xdr:cNvSpPr txBox="1"/>
          </xdr:nvSpPr>
          <xdr:spPr>
            <a:xfrm>
              <a:off x="16416797" y="31529962"/>
              <a:ext cx="664620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𝐂𝐚𝐩_(𝐨𝐩,𝐧𝐬𝐭 )</a:t>
              </a:r>
              <a:endParaRPr lang="en-US" sz="1100" b="1" i="0" kern="1200"/>
            </a:p>
          </xdr:txBody>
        </xdr:sp>
      </mc:Fallback>
    </mc:AlternateContent>
    <xdr:clientData/>
  </xdr:oneCellAnchor>
  <xdr:twoCellAnchor>
    <xdr:from>
      <xdr:col>35</xdr:col>
      <xdr:colOff>6827</xdr:colOff>
      <xdr:row>200</xdr:row>
      <xdr:rowOff>64767</xdr:rowOff>
    </xdr:from>
    <xdr:to>
      <xdr:col>39</xdr:col>
      <xdr:colOff>396172</xdr:colOff>
      <xdr:row>200</xdr:row>
      <xdr:rowOff>143297</xdr:rowOff>
    </xdr:to>
    <xdr:sp macro="" textlink="">
      <xdr:nvSpPr>
        <xdr:cNvPr id="502" name="Right Brace 501">
          <a:extLst>
            <a:ext uri="{FF2B5EF4-FFF2-40B4-BE49-F238E27FC236}">
              <a16:creationId xmlns:a16="http://schemas.microsoft.com/office/drawing/2014/main" id="{F21B2101-FE70-42AC-98CC-98BD7C3D1374}"/>
            </a:ext>
          </a:extLst>
        </xdr:cNvPr>
        <xdr:cNvSpPr/>
      </xdr:nvSpPr>
      <xdr:spPr>
        <a:xfrm rot="5400000">
          <a:off x="16700332" y="30448363"/>
          <a:ext cx="78530" cy="2041469"/>
        </a:xfrm>
        <a:prstGeom prst="rightBrac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oneCellAnchor>
    <xdr:from>
      <xdr:col>31</xdr:col>
      <xdr:colOff>6390</xdr:colOff>
      <xdr:row>242</xdr:row>
      <xdr:rowOff>1189</xdr:rowOff>
    </xdr:from>
    <xdr:ext cx="476669" cy="2577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3" name="TextBox 502">
              <a:extLst>
                <a:ext uri="{FF2B5EF4-FFF2-40B4-BE49-F238E27FC236}">
                  <a16:creationId xmlns:a16="http://schemas.microsoft.com/office/drawing/2014/main" id="{164E84C8-B1AE-429E-87BA-D35DC21D21FA}"/>
                </a:ext>
              </a:extLst>
            </xdr:cNvPr>
            <xdr:cNvSpPr txBox="1"/>
          </xdr:nvSpPr>
          <xdr:spPr>
            <a:xfrm>
              <a:off x="14066302" y="37468999"/>
              <a:ext cx="476669" cy="2577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𝐂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𝐯𝐚𝐫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𝐨𝐩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503" name="TextBox 502">
              <a:extLst>
                <a:ext uri="{FF2B5EF4-FFF2-40B4-BE49-F238E27FC236}">
                  <a16:creationId xmlns:a16="http://schemas.microsoft.com/office/drawing/2014/main" id="{164E84C8-B1AE-429E-87BA-D35DC21D21FA}"/>
                </a:ext>
              </a:extLst>
            </xdr:cNvPr>
            <xdr:cNvSpPr txBox="1"/>
          </xdr:nvSpPr>
          <xdr:spPr>
            <a:xfrm>
              <a:off x="14066302" y="37468999"/>
              <a:ext cx="476669" cy="2577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𝐂_(𝐯𝐚𝐫,𝐨𝐩)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31</xdr:col>
      <xdr:colOff>36933</xdr:colOff>
      <xdr:row>242</xdr:row>
      <xdr:rowOff>144485</xdr:rowOff>
    </xdr:from>
    <xdr:ext cx="527824" cy="2577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4" name="TextBox 503">
              <a:extLst>
                <a:ext uri="{FF2B5EF4-FFF2-40B4-BE49-F238E27FC236}">
                  <a16:creationId xmlns:a16="http://schemas.microsoft.com/office/drawing/2014/main" id="{73F8279D-DF66-4864-92AA-E9FE10EE3A42}"/>
                </a:ext>
              </a:extLst>
            </xdr:cNvPr>
            <xdr:cNvSpPr txBox="1"/>
          </xdr:nvSpPr>
          <xdr:spPr>
            <a:xfrm>
              <a:off x="14096845" y="37612295"/>
              <a:ext cx="527824" cy="2577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𝐂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𝐯𝐚𝐫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𝐨𝐩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𝐝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504" name="TextBox 503">
              <a:extLst>
                <a:ext uri="{FF2B5EF4-FFF2-40B4-BE49-F238E27FC236}">
                  <a16:creationId xmlns:a16="http://schemas.microsoft.com/office/drawing/2014/main" id="{73F8279D-DF66-4864-92AA-E9FE10EE3A42}"/>
                </a:ext>
              </a:extLst>
            </xdr:cNvPr>
            <xdr:cNvSpPr txBox="1"/>
          </xdr:nvSpPr>
          <xdr:spPr>
            <a:xfrm>
              <a:off x="14096845" y="37612295"/>
              <a:ext cx="527824" cy="2577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𝐂_(𝐯𝐚𝐫,𝐨𝐩,𝐝)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32</xdr:col>
      <xdr:colOff>111251</xdr:colOff>
      <xdr:row>240</xdr:row>
      <xdr:rowOff>150160</xdr:rowOff>
    </xdr:from>
    <xdr:ext cx="537798" cy="2577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5" name="TextBox 504">
              <a:extLst>
                <a:ext uri="{FF2B5EF4-FFF2-40B4-BE49-F238E27FC236}">
                  <a16:creationId xmlns:a16="http://schemas.microsoft.com/office/drawing/2014/main" id="{DE1771D4-AF5E-4B4A-B19B-05E65046FF28}"/>
                </a:ext>
              </a:extLst>
            </xdr:cNvPr>
            <xdr:cNvSpPr txBox="1"/>
          </xdr:nvSpPr>
          <xdr:spPr>
            <a:xfrm>
              <a:off x="14584193" y="37297660"/>
              <a:ext cx="537798" cy="2577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𝐂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𝐟𝐢𝐱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𝐨𝐩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sSub>
                          <m:sSubPr>
                            <m:ctrlPr>
                              <a:rPr lang="it-IT" sz="1100" b="1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𝐝</m:t>
                            </m:r>
                          </m:e>
                          <m:sub>
                            <m:r>
                              <a:rPr lang="it-IT" sz="1100" b="1" i="0" kern="1200">
                                <a:latin typeface="Cambria Math" panose="02040503050406030204" pitchFamily="18" charset="0"/>
                              </a:rPr>
                              <m:t>𝐭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505" name="TextBox 504">
              <a:extLst>
                <a:ext uri="{FF2B5EF4-FFF2-40B4-BE49-F238E27FC236}">
                  <a16:creationId xmlns:a16="http://schemas.microsoft.com/office/drawing/2014/main" id="{DE1771D4-AF5E-4B4A-B19B-05E65046FF28}"/>
                </a:ext>
              </a:extLst>
            </xdr:cNvPr>
            <xdr:cNvSpPr txBox="1"/>
          </xdr:nvSpPr>
          <xdr:spPr>
            <a:xfrm>
              <a:off x="14584193" y="37297660"/>
              <a:ext cx="537798" cy="2577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𝐂_(𝐟𝐢𝐱,𝐨𝐩,𝐝_𝐭 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34</xdr:col>
      <xdr:colOff>381230</xdr:colOff>
      <xdr:row>236</xdr:row>
      <xdr:rowOff>150458</xdr:rowOff>
    </xdr:from>
    <xdr:ext cx="1326723" cy="2577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6" name="TextBox 505">
              <a:extLst>
                <a:ext uri="{FF2B5EF4-FFF2-40B4-BE49-F238E27FC236}">
                  <a16:creationId xmlns:a16="http://schemas.microsoft.com/office/drawing/2014/main" id="{98D7B270-E163-4E81-AC8E-1F9AFFFAC52E}"/>
                </a:ext>
              </a:extLst>
            </xdr:cNvPr>
            <xdr:cNvSpPr txBox="1"/>
          </xdr:nvSpPr>
          <xdr:spPr>
            <a:xfrm>
              <a:off x="15680234" y="36657339"/>
              <a:ext cx="1326723" cy="2577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𝐂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𝐜𝐚𝐩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𝐜𝐞𝐦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;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𝐡𝐭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;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𝐥𝐭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;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𝐩𝐨𝐰𝐞𝐫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;</m:t>
                        </m:r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𝐬𝐭𝐥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506" name="TextBox 505">
              <a:extLst>
                <a:ext uri="{FF2B5EF4-FFF2-40B4-BE49-F238E27FC236}">
                  <a16:creationId xmlns:a16="http://schemas.microsoft.com/office/drawing/2014/main" id="{98D7B270-E163-4E81-AC8E-1F9AFFFAC52E}"/>
                </a:ext>
              </a:extLst>
            </xdr:cNvPr>
            <xdr:cNvSpPr txBox="1"/>
          </xdr:nvSpPr>
          <xdr:spPr>
            <a:xfrm>
              <a:off x="15680234" y="36657339"/>
              <a:ext cx="1326723" cy="2577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𝐂_(𝐜𝐚𝐩,𝐜𝐞𝐦;𝐡𝐭;𝐥𝐭;𝐩𝐨𝐰𝐞𝐫;𝐬𝐭𝐥)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28</xdr:col>
      <xdr:colOff>387928</xdr:colOff>
      <xdr:row>100</xdr:row>
      <xdr:rowOff>145115</xdr:rowOff>
    </xdr:from>
    <xdr:ext cx="443006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7" name="CasellaDiTesto 60">
              <a:extLst>
                <a:ext uri="{FF2B5EF4-FFF2-40B4-BE49-F238E27FC236}">
                  <a16:creationId xmlns:a16="http://schemas.microsoft.com/office/drawing/2014/main" id="{ED878DBF-9708-41EC-86B6-C46906B64EB0}"/>
                </a:ext>
              </a:extLst>
            </xdr:cNvPr>
            <xdr:cNvSpPr txBox="1"/>
          </xdr:nvSpPr>
          <xdr:spPr>
            <a:xfrm>
              <a:off x="13208747" y="16759075"/>
              <a:ext cx="443006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𝐂𝐔</m:t>
                    </m:r>
                    <m:sSub>
                      <m:sSubPr>
                        <m:ctrlPr>
                          <a:rPr lang="it-IT" sz="11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𝐑</m:t>
                        </m:r>
                      </m:e>
                      <m:sub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𝐲𝐡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chemeClr val="tx1"/>
                </a:solidFill>
              </a:endParaRPr>
            </a:p>
          </xdr:txBody>
        </xdr:sp>
      </mc:Choice>
      <mc:Fallback xmlns="">
        <xdr:sp macro="" textlink="">
          <xdr:nvSpPr>
            <xdr:cNvPr id="507" name="CasellaDiTesto 60">
              <a:extLst>
                <a:ext uri="{FF2B5EF4-FFF2-40B4-BE49-F238E27FC236}">
                  <a16:creationId xmlns:a16="http://schemas.microsoft.com/office/drawing/2014/main" id="{ED878DBF-9708-41EC-86B6-C46906B64EB0}"/>
                </a:ext>
              </a:extLst>
            </xdr:cNvPr>
            <xdr:cNvSpPr txBox="1"/>
          </xdr:nvSpPr>
          <xdr:spPr>
            <a:xfrm>
              <a:off x="13208747" y="16759075"/>
              <a:ext cx="443006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𝐂𝐔𝐑_𝐲𝐡</a:t>
              </a:r>
              <a:endParaRPr lang="it-IT" sz="1100" b="1" i="0">
                <a:solidFill>
                  <a:schemeClr val="tx1"/>
                </a:solidFill>
              </a:endParaRPr>
            </a:p>
          </xdr:txBody>
        </xdr:sp>
      </mc:Fallback>
    </mc:AlternateContent>
    <xdr:clientData/>
  </xdr:oneCellAnchor>
  <xdr:oneCellAnchor>
    <xdr:from>
      <xdr:col>40</xdr:col>
      <xdr:colOff>67162</xdr:colOff>
      <xdr:row>167</xdr:row>
      <xdr:rowOff>1793</xdr:rowOff>
    </xdr:from>
    <xdr:ext cx="774058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8" name="TextBox 507">
              <a:extLst>
                <a:ext uri="{FF2B5EF4-FFF2-40B4-BE49-F238E27FC236}">
                  <a16:creationId xmlns:a16="http://schemas.microsoft.com/office/drawing/2014/main" id="{74792386-4377-4F4B-AE4E-D8CBEF702CEF}"/>
                </a:ext>
              </a:extLst>
            </xdr:cNvPr>
            <xdr:cNvSpPr txBox="1"/>
          </xdr:nvSpPr>
          <xdr:spPr>
            <a:xfrm>
              <a:off x="17844352" y="26385200"/>
              <a:ext cx="774058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𝐜𝐚𝐩</m:t>
                    </m:r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_</m:t>
                    </m:r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𝐭𝐨</m:t>
                    </m:r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_</m:t>
                    </m:r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𝐚𝐜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𝐭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𝐲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508" name="TextBox 507">
              <a:extLst>
                <a:ext uri="{FF2B5EF4-FFF2-40B4-BE49-F238E27FC236}">
                  <a16:creationId xmlns:a16="http://schemas.microsoft.com/office/drawing/2014/main" id="{74792386-4377-4F4B-AE4E-D8CBEF702CEF}"/>
                </a:ext>
              </a:extLst>
            </xdr:cNvPr>
            <xdr:cNvSpPr txBox="1"/>
          </xdr:nvSpPr>
          <xdr:spPr>
            <a:xfrm>
              <a:off x="17844352" y="26385200"/>
              <a:ext cx="774058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𝐜𝐚𝐩_𝐭𝐨_𝐚𝐜𝐭_𝐲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40</xdr:col>
      <xdr:colOff>66066</xdr:colOff>
      <xdr:row>167</xdr:row>
      <xdr:rowOff>153519</xdr:rowOff>
    </xdr:from>
    <xdr:ext cx="77809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9" name="TextBox 508">
              <a:extLst>
                <a:ext uri="{FF2B5EF4-FFF2-40B4-BE49-F238E27FC236}">
                  <a16:creationId xmlns:a16="http://schemas.microsoft.com/office/drawing/2014/main" id="{8A1633AA-D61B-4CC1-894F-F3BA8C17E3BE}"/>
                </a:ext>
              </a:extLst>
            </xdr:cNvPr>
            <xdr:cNvSpPr txBox="1"/>
          </xdr:nvSpPr>
          <xdr:spPr>
            <a:xfrm>
              <a:off x="17843256" y="26536926"/>
              <a:ext cx="77809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𝐜𝐚𝐩</m:t>
                    </m:r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_</m:t>
                    </m:r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𝐭𝐨</m:t>
                    </m:r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_</m:t>
                    </m:r>
                    <m:r>
                      <a:rPr lang="it-IT" sz="1100" b="1" i="0" kern="1200">
                        <a:latin typeface="Cambria Math" panose="02040503050406030204" pitchFamily="18" charset="0"/>
                      </a:rPr>
                      <m:t>𝐚𝐜</m:t>
                    </m:r>
                    <m:sSub>
                      <m:sSubPr>
                        <m:ctrlPr>
                          <a:rPr lang="it-IT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𝐭</m:t>
                        </m:r>
                      </m:e>
                      <m:sub>
                        <m:r>
                          <a:rPr lang="it-IT" sz="1100" b="1" i="0" kern="1200">
                            <a:latin typeface="Cambria Math" panose="02040503050406030204" pitchFamily="18" charset="0"/>
                          </a:rPr>
                          <m:t>𝐡</m:t>
                        </m:r>
                      </m:sub>
                    </m:sSub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509" name="TextBox 508">
              <a:extLst>
                <a:ext uri="{FF2B5EF4-FFF2-40B4-BE49-F238E27FC236}">
                  <a16:creationId xmlns:a16="http://schemas.microsoft.com/office/drawing/2014/main" id="{8A1633AA-D61B-4CC1-894F-F3BA8C17E3BE}"/>
                </a:ext>
              </a:extLst>
            </xdr:cNvPr>
            <xdr:cNvSpPr txBox="1"/>
          </xdr:nvSpPr>
          <xdr:spPr>
            <a:xfrm>
              <a:off x="17843256" y="26536926"/>
              <a:ext cx="77809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latin typeface="Cambria Math" panose="02040503050406030204" pitchFamily="18" charset="0"/>
                </a:rPr>
                <a:t>𝐜𝐚𝐩_𝐭𝐨_𝐚𝐜𝐭_𝐡</a:t>
              </a:r>
              <a:endParaRPr lang="en-US" sz="1100" b="1" i="0" kern="1200"/>
            </a:p>
          </xdr:txBody>
        </xdr:sp>
      </mc:Fallback>
    </mc:AlternateContent>
    <xdr:clientData/>
  </xdr:oneCellAnchor>
  <xdr:oneCellAnchor>
    <xdr:from>
      <xdr:col>35</xdr:col>
      <xdr:colOff>26276</xdr:colOff>
      <xdr:row>179</xdr:row>
      <xdr:rowOff>145956</xdr:rowOff>
    </xdr:from>
    <xdr:ext cx="4612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9" name="TextBox 509">
              <a:extLst>
                <a:ext uri="{FF2B5EF4-FFF2-40B4-BE49-F238E27FC236}">
                  <a16:creationId xmlns:a16="http://schemas.microsoft.com/office/drawing/2014/main" id="{F7AD309C-3EAF-4A85-ADDC-5B61A96AA584}"/>
                </a:ext>
              </a:extLst>
            </xdr:cNvPr>
            <xdr:cNvSpPr txBox="1"/>
          </xdr:nvSpPr>
          <xdr:spPr>
            <a:xfrm>
              <a:off x="15738311" y="28451221"/>
              <a:ext cx="461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𝐝𝐞𝐥𝐚𝐲𝐬</m:t>
                    </m:r>
                  </m:oMath>
                </m:oMathPara>
              </a14:m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510" name="TextBox 509">
              <a:extLst>
                <a:ext uri="{FF2B5EF4-FFF2-40B4-BE49-F238E27FC236}">
                  <a16:creationId xmlns:a16="http://schemas.microsoft.com/office/drawing/2014/main" id="{F7AD309C-3EAF-4A85-ADDC-5B61A96AA584}"/>
                </a:ext>
              </a:extLst>
            </xdr:cNvPr>
            <xdr:cNvSpPr txBox="1"/>
          </xdr:nvSpPr>
          <xdr:spPr>
            <a:xfrm>
              <a:off x="15738311" y="28451221"/>
              <a:ext cx="461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rgbClr val="FF0000"/>
                  </a:solidFill>
                  <a:latin typeface="Cambria Math" panose="02040503050406030204" pitchFamily="18" charset="0"/>
                </a:rPr>
                <a:t>𝐝𝐞𝐥𝐚𝐲𝐬</a:t>
              </a:r>
              <a:endParaRPr lang="en-US" sz="1100" b="1" i="0" kern="12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31</xdr:col>
      <xdr:colOff>49877</xdr:colOff>
      <xdr:row>147</xdr:row>
      <xdr:rowOff>144173</xdr:rowOff>
    </xdr:from>
    <xdr:ext cx="656270" cy="2021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1" name="CasellaDiTesto 60">
              <a:extLst>
                <a:ext uri="{FF2B5EF4-FFF2-40B4-BE49-F238E27FC236}">
                  <a16:creationId xmlns:a16="http://schemas.microsoft.com/office/drawing/2014/main" id="{77298FCA-9867-4D87-8808-A6B1F29432E5}"/>
                </a:ext>
              </a:extLst>
            </xdr:cNvPr>
            <xdr:cNvSpPr txBox="1"/>
          </xdr:nvSpPr>
          <xdr:spPr>
            <a:xfrm>
              <a:off x="14042102" y="24537698"/>
              <a:ext cx="656270" cy="2021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𝐯𝐮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𝐧𝐞𝐭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  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𝐭𝐨</m:t>
                        </m:r>
                        <m:sSub>
                          <m:sSubPr>
                            <m:ctrlPr>
                              <a:rPr lang="it-IT" sz="110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𝐭</m:t>
                            </m:r>
                          </m:e>
                          <m:sub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𝐲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451" name="CasellaDiTesto 60">
              <a:extLst>
                <a:ext uri="{FF2B5EF4-FFF2-40B4-BE49-F238E27FC236}">
                  <a16:creationId xmlns:a16="http://schemas.microsoft.com/office/drawing/2014/main" id="{77298FCA-9867-4D87-8808-A6B1F29432E5}"/>
                </a:ext>
              </a:extLst>
            </xdr:cNvPr>
            <xdr:cNvSpPr txBox="1"/>
          </xdr:nvSpPr>
          <xdr:spPr>
            <a:xfrm>
              <a:off x="14042102" y="24537698"/>
              <a:ext cx="656270" cy="2021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𝐑_(𝐯𝐮, 𝐧𝐞𝐭,  𝐭𝐨𝐭_𝐲 )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twoCellAnchor>
    <xdr:from>
      <xdr:col>30</xdr:col>
      <xdr:colOff>259798</xdr:colOff>
      <xdr:row>148</xdr:row>
      <xdr:rowOff>19050</xdr:rowOff>
    </xdr:from>
    <xdr:to>
      <xdr:col>30</xdr:col>
      <xdr:colOff>361949</xdr:colOff>
      <xdr:row>150</xdr:row>
      <xdr:rowOff>6350</xdr:rowOff>
    </xdr:to>
    <xdr:sp macro="" textlink="">
      <xdr:nvSpPr>
        <xdr:cNvPr id="452" name="Right Brace 451">
          <a:extLst>
            <a:ext uri="{FF2B5EF4-FFF2-40B4-BE49-F238E27FC236}">
              <a16:creationId xmlns:a16="http://schemas.microsoft.com/office/drawing/2014/main" id="{C9081D02-70E9-44C0-B436-B5EF2999FF9B}"/>
            </a:ext>
          </a:extLst>
        </xdr:cNvPr>
        <xdr:cNvSpPr/>
      </xdr:nvSpPr>
      <xdr:spPr>
        <a:xfrm flipH="1">
          <a:off x="13842448" y="24574500"/>
          <a:ext cx="102151" cy="311150"/>
        </a:xfrm>
        <a:prstGeom prst="rightBrace">
          <a:avLst>
            <a:gd name="adj1" fmla="val 8333"/>
            <a:gd name="adj2" fmla="val 48925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oneCellAnchor>
    <xdr:from>
      <xdr:col>23</xdr:col>
      <xdr:colOff>142891</xdr:colOff>
      <xdr:row>129</xdr:row>
      <xdr:rowOff>27764</xdr:rowOff>
    </xdr:from>
    <xdr:ext cx="435504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3" name="CasellaDiTesto 60">
              <a:extLst>
                <a:ext uri="{FF2B5EF4-FFF2-40B4-BE49-F238E27FC236}">
                  <a16:creationId xmlns:a16="http://schemas.microsoft.com/office/drawing/2014/main" id="{4395A393-C848-4E37-9333-1C90C4451AF0}"/>
                </a:ext>
              </a:extLst>
            </xdr:cNvPr>
            <xdr:cNvSpPr txBox="1"/>
          </xdr:nvSpPr>
          <xdr:spPr>
            <a:xfrm>
              <a:off x="10858516" y="21506639"/>
              <a:ext cx="435504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𝐑𝐑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𝐯𝐮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𝐂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453" name="CasellaDiTesto 60">
              <a:extLst>
                <a:ext uri="{FF2B5EF4-FFF2-40B4-BE49-F238E27FC236}">
                  <a16:creationId xmlns:a16="http://schemas.microsoft.com/office/drawing/2014/main" id="{4395A393-C848-4E37-9333-1C90C4451AF0}"/>
                </a:ext>
              </a:extLst>
            </xdr:cNvPr>
            <xdr:cNvSpPr txBox="1"/>
          </xdr:nvSpPr>
          <xdr:spPr>
            <a:xfrm>
              <a:off x="10858516" y="21506639"/>
              <a:ext cx="435504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〖𝐑𝐑〗_(𝐯𝐮,𝐂)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50</xdr:col>
      <xdr:colOff>398133</xdr:colOff>
      <xdr:row>159</xdr:row>
      <xdr:rowOff>97890</xdr:rowOff>
    </xdr:from>
    <xdr:ext cx="804451" cy="1847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8" name="CasellaDiTesto 60">
              <a:extLst>
                <a:ext uri="{FF2B5EF4-FFF2-40B4-BE49-F238E27FC236}">
                  <a16:creationId xmlns:a16="http://schemas.microsoft.com/office/drawing/2014/main" id="{5225D263-1140-47A4-908F-C1AD1CFA00B2}"/>
                </a:ext>
              </a:extLst>
            </xdr:cNvPr>
            <xdr:cNvSpPr txBox="1"/>
          </xdr:nvSpPr>
          <xdr:spPr>
            <a:xfrm>
              <a:off x="22172283" y="26434515"/>
              <a:ext cx="804451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𝐑</m:t>
                    </m:r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𝐑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𝐭𝐨𝐭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𝐚𝐥𝐥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𝐭𝐞𝐜</m:t>
                        </m:r>
                        <m:sSub>
                          <m:sSubPr>
                            <m:ctrlPr>
                              <a:rPr lang="it-IT" sz="1100" b="1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  <m:t>𝐡</m:t>
                            </m:r>
                          </m:e>
                          <m:sub>
                            <m:r>
                              <a:rPr lang="it-IT" sz="1100" b="1" i="0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  <m:t>𝐮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458" name="CasellaDiTesto 60">
              <a:extLst>
                <a:ext uri="{FF2B5EF4-FFF2-40B4-BE49-F238E27FC236}">
                  <a16:creationId xmlns:a16="http://schemas.microsoft.com/office/drawing/2014/main" id="{5225D263-1140-47A4-908F-C1AD1CFA00B2}"/>
                </a:ext>
              </a:extLst>
            </xdr:cNvPr>
            <xdr:cNvSpPr txBox="1"/>
          </xdr:nvSpPr>
          <xdr:spPr>
            <a:xfrm>
              <a:off x="22172283" y="26434515"/>
              <a:ext cx="804451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𝐑𝐑_(𝐭𝐨𝐭,𝐚𝐥𝐥 𝐭𝐞𝐜𝐡_𝐮 )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50</xdr:col>
      <xdr:colOff>382258</xdr:colOff>
      <xdr:row>162</xdr:row>
      <xdr:rowOff>135990</xdr:rowOff>
    </xdr:from>
    <xdr:ext cx="830419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9" name="CasellaDiTesto 60">
              <a:extLst>
                <a:ext uri="{FF2B5EF4-FFF2-40B4-BE49-F238E27FC236}">
                  <a16:creationId xmlns:a16="http://schemas.microsoft.com/office/drawing/2014/main" id="{C920AE32-582A-4D34-B6F2-3B4394C12331}"/>
                </a:ext>
              </a:extLst>
            </xdr:cNvPr>
            <xdr:cNvSpPr txBox="1"/>
          </xdr:nvSpPr>
          <xdr:spPr>
            <a:xfrm>
              <a:off x="22156408" y="26958390"/>
              <a:ext cx="830419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𝐑</m:t>
                    </m:r>
                    <m:sSub>
                      <m:sSubPr>
                        <m:ctrlPr>
                          <a:rPr lang="it-IT" sz="11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𝐑</m:t>
                        </m:r>
                      </m:e>
                      <m:sub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𝐭𝐨𝐭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𝐚𝐥𝐥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it-IT" sz="1100" b="1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𝐭𝐞𝐜</m:t>
                        </m:r>
                        <m:sSub>
                          <m:sSubPr>
                            <m:ctrlPr>
                              <a:rPr lang="it-IT" sz="1100" b="1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  <m:t>𝐡</m:t>
                            </m:r>
                          </m:e>
                          <m:sub>
                            <m:r>
                              <a:rPr lang="it-IT" sz="1100" b="1" i="0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  <m:t>𝐞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459" name="CasellaDiTesto 60">
              <a:extLst>
                <a:ext uri="{FF2B5EF4-FFF2-40B4-BE49-F238E27FC236}">
                  <a16:creationId xmlns:a16="http://schemas.microsoft.com/office/drawing/2014/main" id="{C920AE32-582A-4D34-B6F2-3B4394C12331}"/>
                </a:ext>
              </a:extLst>
            </xdr:cNvPr>
            <xdr:cNvSpPr txBox="1"/>
          </xdr:nvSpPr>
          <xdr:spPr>
            <a:xfrm>
              <a:off x="22156408" y="26958390"/>
              <a:ext cx="830419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𝐑𝐑_(𝐭𝐨𝐭,𝐚𝐥𝐥 𝐭𝐞𝐜𝐡_𝐞 )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48</xdr:col>
      <xdr:colOff>96508</xdr:colOff>
      <xdr:row>160</xdr:row>
      <xdr:rowOff>28040</xdr:rowOff>
    </xdr:from>
    <xdr:ext cx="1068241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0" name="CasellaDiTesto 60">
              <a:extLst>
                <a:ext uri="{FF2B5EF4-FFF2-40B4-BE49-F238E27FC236}">
                  <a16:creationId xmlns:a16="http://schemas.microsoft.com/office/drawing/2014/main" id="{DE645443-B0E3-49ED-BA4A-1BE0884E79AF}"/>
                </a:ext>
              </a:extLst>
            </xdr:cNvPr>
            <xdr:cNvSpPr txBox="1"/>
          </xdr:nvSpPr>
          <xdr:spPr>
            <a:xfrm>
              <a:off x="21051508" y="26526590"/>
              <a:ext cx="1068241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𝐑</m:t>
                    </m:r>
                    <m:sSub>
                      <m:sSubPr>
                        <m:ctrlPr>
                          <a:rPr lang="it-IT" sz="11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𝐑</m:t>
                        </m:r>
                      </m:e>
                      <m:sub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𝐯𝐮</m:t>
                        </m:r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𝐧𝐞𝐭</m:t>
                        </m:r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𝐭𝐨𝐭</m:t>
                        </m:r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𝐚𝐥𝐥</m:t>
                        </m:r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𝐭𝐞𝐜𝐡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510" name="CasellaDiTesto 60">
              <a:extLst>
                <a:ext uri="{FF2B5EF4-FFF2-40B4-BE49-F238E27FC236}">
                  <a16:creationId xmlns:a16="http://schemas.microsoft.com/office/drawing/2014/main" id="{DE645443-B0E3-49ED-BA4A-1BE0884E79AF}"/>
                </a:ext>
              </a:extLst>
            </xdr:cNvPr>
            <xdr:cNvSpPr txBox="1"/>
          </xdr:nvSpPr>
          <xdr:spPr>
            <a:xfrm>
              <a:off x="21051508" y="26526590"/>
              <a:ext cx="1068241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𝐑𝐑_(𝐯𝐮,𝐧𝐞𝐭,𝐭𝐨𝐭,𝐚𝐥𝐥 𝐭𝐞𝐜𝐡)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48</xdr:col>
      <xdr:colOff>93333</xdr:colOff>
      <xdr:row>161</xdr:row>
      <xdr:rowOff>50265</xdr:rowOff>
    </xdr:from>
    <xdr:ext cx="1120884" cy="2021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CasellaDiTesto 60">
              <a:extLst>
                <a:ext uri="{FF2B5EF4-FFF2-40B4-BE49-F238E27FC236}">
                  <a16:creationId xmlns:a16="http://schemas.microsoft.com/office/drawing/2014/main" id="{3CBD0BB5-FCE2-4DCA-91BB-870B1B04547D}"/>
                </a:ext>
              </a:extLst>
            </xdr:cNvPr>
            <xdr:cNvSpPr txBox="1"/>
          </xdr:nvSpPr>
          <xdr:spPr>
            <a:xfrm>
              <a:off x="21048333" y="26710740"/>
              <a:ext cx="1120884" cy="2021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𝐑</m:t>
                    </m:r>
                    <m:sSub>
                      <m:sSubPr>
                        <m:ctrlPr>
                          <a:rPr lang="it-IT" sz="11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𝐑</m:t>
                        </m:r>
                      </m:e>
                      <m:sub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𝐯𝐮</m:t>
                        </m:r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𝐧𝐞𝐭</m:t>
                        </m:r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𝐭𝐨𝐭</m:t>
                        </m:r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𝐚𝐥𝐥</m:t>
                        </m:r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𝐭𝐞𝐜</m:t>
                        </m:r>
                        <m:sSub>
                          <m:sSubPr>
                            <m:ctrlPr>
                              <a:rPr lang="it-IT" sz="11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𝐡</m:t>
                            </m:r>
                          </m:e>
                          <m:sub>
                            <m:r>
                              <a:rPr lang="it-IT" sz="1100" b="1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𝐲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74" name="CasellaDiTesto 60">
              <a:extLst>
                <a:ext uri="{FF2B5EF4-FFF2-40B4-BE49-F238E27FC236}">
                  <a16:creationId xmlns:a16="http://schemas.microsoft.com/office/drawing/2014/main" id="{3CBD0BB5-FCE2-4DCA-91BB-870B1B04547D}"/>
                </a:ext>
              </a:extLst>
            </xdr:cNvPr>
            <xdr:cNvSpPr txBox="1"/>
          </xdr:nvSpPr>
          <xdr:spPr>
            <a:xfrm>
              <a:off x="21048333" y="26710740"/>
              <a:ext cx="1120884" cy="2021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𝐑𝐑_(𝐯𝐮,𝐧𝐞𝐭,𝐭𝐨𝐭,𝐚𝐥𝐥 𝐭𝐞𝐜𝐡_𝐲 )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48</xdr:col>
      <xdr:colOff>379083</xdr:colOff>
      <xdr:row>163</xdr:row>
      <xdr:rowOff>40740</xdr:rowOff>
    </xdr:from>
    <xdr:ext cx="721864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CasellaDiTesto 60">
              <a:extLst>
                <a:ext uri="{FF2B5EF4-FFF2-40B4-BE49-F238E27FC236}">
                  <a16:creationId xmlns:a16="http://schemas.microsoft.com/office/drawing/2014/main" id="{143BF721-F232-4907-BC13-5BB917562A68}"/>
                </a:ext>
              </a:extLst>
            </xdr:cNvPr>
            <xdr:cNvSpPr txBox="1"/>
          </xdr:nvSpPr>
          <xdr:spPr>
            <a:xfrm>
              <a:off x="21334083" y="27025065"/>
              <a:ext cx="721864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𝐑</m:t>
                    </m:r>
                    <m:sSub>
                      <m:sSubPr>
                        <m:ctrlPr>
                          <a:rPr lang="it-IT" sz="11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𝐑</m:t>
                        </m:r>
                      </m:e>
                      <m:sub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𝐯𝐞</m:t>
                        </m:r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𝐚𝐥𝐥</m:t>
                        </m:r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𝐭𝐞𝐜𝐡</m:t>
                        </m:r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77" name="CasellaDiTesto 60">
              <a:extLst>
                <a:ext uri="{FF2B5EF4-FFF2-40B4-BE49-F238E27FC236}">
                  <a16:creationId xmlns:a16="http://schemas.microsoft.com/office/drawing/2014/main" id="{143BF721-F232-4907-BC13-5BB917562A68}"/>
                </a:ext>
              </a:extLst>
            </xdr:cNvPr>
            <xdr:cNvSpPr txBox="1"/>
          </xdr:nvSpPr>
          <xdr:spPr>
            <a:xfrm>
              <a:off x="21334083" y="27025065"/>
              <a:ext cx="721864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𝐑𝐑_(𝐯𝐞,𝐚𝐥𝐥 𝐭𝐞𝐜𝐡)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48</xdr:col>
      <xdr:colOff>379083</xdr:colOff>
      <xdr:row>164</xdr:row>
      <xdr:rowOff>31215</xdr:rowOff>
    </xdr:from>
    <xdr:ext cx="824072" cy="201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CasellaDiTesto 60">
              <a:extLst>
                <a:ext uri="{FF2B5EF4-FFF2-40B4-BE49-F238E27FC236}">
                  <a16:creationId xmlns:a16="http://schemas.microsoft.com/office/drawing/2014/main" id="{C428CF30-56E3-428B-9675-09CAAD11638D}"/>
                </a:ext>
              </a:extLst>
            </xdr:cNvPr>
            <xdr:cNvSpPr txBox="1"/>
          </xdr:nvSpPr>
          <xdr:spPr>
            <a:xfrm>
              <a:off x="21334083" y="27177465"/>
              <a:ext cx="824072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𝐑</m:t>
                    </m:r>
                    <m:sSub>
                      <m:sSubPr>
                        <m:ctrlPr>
                          <a:rPr lang="it-IT" sz="11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𝐑</m:t>
                        </m:r>
                      </m:e>
                      <m:sub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𝐯𝐞</m:t>
                        </m:r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𝐚𝐥𝐥</m:t>
                        </m:r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it-IT" sz="11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𝐭𝐞𝐜</m:t>
                        </m:r>
                        <m:sSub>
                          <m:sSubPr>
                            <m:ctrlPr>
                              <a:rPr lang="it-IT" sz="11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𝐡</m:t>
                            </m:r>
                          </m:e>
                          <m:sub>
                            <m:r>
                              <a:rPr lang="it-IT" sz="1100" b="1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𝐩𝐞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it-IT" sz="1100" b="1" i="0"/>
            </a:p>
          </xdr:txBody>
        </xdr:sp>
      </mc:Choice>
      <mc:Fallback xmlns="">
        <xdr:sp macro="" textlink="">
          <xdr:nvSpPr>
            <xdr:cNvPr id="103" name="CasellaDiTesto 60">
              <a:extLst>
                <a:ext uri="{FF2B5EF4-FFF2-40B4-BE49-F238E27FC236}">
                  <a16:creationId xmlns:a16="http://schemas.microsoft.com/office/drawing/2014/main" id="{C428CF30-56E3-428B-9675-09CAAD11638D}"/>
                </a:ext>
              </a:extLst>
            </xdr:cNvPr>
            <xdr:cNvSpPr txBox="1"/>
          </xdr:nvSpPr>
          <xdr:spPr>
            <a:xfrm>
              <a:off x="21334083" y="27177465"/>
              <a:ext cx="824072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𝐑𝐑_(𝐯𝐞,𝐚𝐥𝐥 𝐭𝐞𝐜𝐡_𝐩𝐞 )</a:t>
              </a:r>
              <a:endParaRPr lang="it-IT" sz="1100" b="1" i="0"/>
            </a:p>
          </xdr:txBody>
        </xdr:sp>
      </mc:Fallback>
    </mc:AlternateContent>
    <xdr:clientData/>
  </xdr:oneCellAnchor>
  <xdr:oneCellAnchor>
    <xdr:from>
      <xdr:col>47</xdr:col>
      <xdr:colOff>40665</xdr:colOff>
      <xdr:row>157</xdr:row>
      <xdr:rowOff>145515</xdr:rowOff>
    </xdr:from>
    <xdr:ext cx="318421" cy="2080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CasellaDiTesto 60">
              <a:extLst>
                <a:ext uri="{FF2B5EF4-FFF2-40B4-BE49-F238E27FC236}">
                  <a16:creationId xmlns:a16="http://schemas.microsoft.com/office/drawing/2014/main" id="{6F486148-2835-4193-830D-07B313601958}"/>
                </a:ext>
              </a:extLst>
            </xdr:cNvPr>
            <xdr:cNvSpPr txBox="1"/>
          </xdr:nvSpPr>
          <xdr:spPr>
            <a:xfrm>
              <a:off x="20586090" y="26158290"/>
              <a:ext cx="318421" cy="2080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it-IT" sz="110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𝐑</m:t>
                            </m:r>
                          </m:e>
                          <m:sub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𝐯𝐞</m:t>
                            </m:r>
                          </m:sub>
                        </m:sSub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𝐲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13" name="CasellaDiTesto 60">
              <a:extLst>
                <a:ext uri="{FF2B5EF4-FFF2-40B4-BE49-F238E27FC236}">
                  <a16:creationId xmlns:a16="http://schemas.microsoft.com/office/drawing/2014/main" id="{6F486148-2835-4193-830D-07B313601958}"/>
                </a:ext>
              </a:extLst>
            </xdr:cNvPr>
            <xdr:cNvSpPr txBox="1"/>
          </xdr:nvSpPr>
          <xdr:spPr>
            <a:xfrm>
              <a:off x="20586090" y="26158290"/>
              <a:ext cx="318421" cy="2080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〖𝐑_𝐯𝐞〗_𝐲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28</xdr:col>
      <xdr:colOff>371475</xdr:colOff>
      <xdr:row>254</xdr:row>
      <xdr:rowOff>85725</xdr:rowOff>
    </xdr:from>
    <xdr:ext cx="66736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8" name="TextBox 517">
              <a:extLst>
                <a:ext uri="{FF2B5EF4-FFF2-40B4-BE49-F238E27FC236}">
                  <a16:creationId xmlns:a16="http://schemas.microsoft.com/office/drawing/2014/main" id="{B914D6A0-A7EC-4712-BC4C-3910BFAAF033}"/>
                </a:ext>
              </a:extLst>
            </xdr:cNvPr>
            <xdr:cNvSpPr txBox="1"/>
          </xdr:nvSpPr>
          <xdr:spPr>
            <a:xfrm>
              <a:off x="13134975" y="41843325"/>
              <a:ext cx="6673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𝐭𝐨𝐥𝐞𝐫𝐚𝐧𝐜𝐞</m:t>
                    </m:r>
                  </m:oMath>
                </m:oMathPara>
              </a14:m>
              <a:endParaRPr lang="en-US" sz="1100" b="1" i="0" kern="1200"/>
            </a:p>
          </xdr:txBody>
        </xdr:sp>
      </mc:Choice>
      <mc:Fallback xmlns="">
        <xdr:sp macro="" textlink="">
          <xdr:nvSpPr>
            <xdr:cNvPr id="518" name="TextBox 517">
              <a:extLst>
                <a:ext uri="{FF2B5EF4-FFF2-40B4-BE49-F238E27FC236}">
                  <a16:creationId xmlns:a16="http://schemas.microsoft.com/office/drawing/2014/main" id="{B914D6A0-A7EC-4712-BC4C-3910BFAAF033}"/>
                </a:ext>
              </a:extLst>
            </xdr:cNvPr>
            <xdr:cNvSpPr txBox="1"/>
          </xdr:nvSpPr>
          <xdr:spPr>
            <a:xfrm>
              <a:off x="13134975" y="41843325"/>
              <a:ext cx="6673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rgbClr val="FF0000"/>
                  </a:solidFill>
                  <a:latin typeface="Cambria Math" panose="02040503050406030204" pitchFamily="18" charset="0"/>
                </a:rPr>
                <a:t>𝐭𝐨𝐥𝐞𝐫𝐚𝐧𝐜𝐞</a:t>
              </a:r>
              <a:endParaRPr lang="en-US" sz="1100" b="1" i="0" kern="1200"/>
            </a:p>
          </xdr:txBody>
        </xdr:sp>
      </mc:Fallback>
    </mc:AlternateContent>
    <xdr:clientData/>
  </xdr:oneCellAnchor>
  <xdr:twoCellAnchor>
    <xdr:from>
      <xdr:col>30</xdr:col>
      <xdr:colOff>256498</xdr:colOff>
      <xdr:row>250</xdr:row>
      <xdr:rowOff>85863</xdr:rowOff>
    </xdr:from>
    <xdr:to>
      <xdr:col>30</xdr:col>
      <xdr:colOff>361950</xdr:colOff>
      <xdr:row>259</xdr:row>
      <xdr:rowOff>139700</xdr:rowOff>
    </xdr:to>
    <xdr:sp macro="" textlink="">
      <xdr:nvSpPr>
        <xdr:cNvPr id="520" name="Right Brace 519">
          <a:extLst>
            <a:ext uri="{FF2B5EF4-FFF2-40B4-BE49-F238E27FC236}">
              <a16:creationId xmlns:a16="http://schemas.microsoft.com/office/drawing/2014/main" id="{580EA724-0B9C-4E34-87D7-F0567AF9222E}"/>
            </a:ext>
          </a:extLst>
        </xdr:cNvPr>
        <xdr:cNvSpPr/>
      </xdr:nvSpPr>
      <xdr:spPr>
        <a:xfrm flipH="1">
          <a:off x="13839148" y="41195763"/>
          <a:ext cx="105452" cy="1511162"/>
        </a:xfrm>
        <a:prstGeom prst="rightBrace">
          <a:avLst>
            <a:gd name="adj1" fmla="val 8333"/>
            <a:gd name="adj2" fmla="val 48925"/>
          </a:avLst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oneCellAnchor>
    <xdr:from>
      <xdr:col>40</xdr:col>
      <xdr:colOff>257175</xdr:colOff>
      <xdr:row>251</xdr:row>
      <xdr:rowOff>152400</xdr:rowOff>
    </xdr:from>
    <xdr:ext cx="762580" cy="1847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3" name="TextBox 522">
              <a:extLst>
                <a:ext uri="{FF2B5EF4-FFF2-40B4-BE49-F238E27FC236}">
                  <a16:creationId xmlns:a16="http://schemas.microsoft.com/office/drawing/2014/main" id="{6A7FCAF5-3147-49B6-B18E-91B82A9F8FA2}"/>
                </a:ext>
              </a:extLst>
            </xdr:cNvPr>
            <xdr:cNvSpPr txBox="1"/>
          </xdr:nvSpPr>
          <xdr:spPr>
            <a:xfrm>
              <a:off x="17935575" y="41424225"/>
              <a:ext cx="762580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𝐭𝐨</m:t>
                    </m:r>
                    <m:sSub>
                      <m:sSubPr>
                        <m:ctrlPr>
                          <a:rPr lang="it-IT" sz="1100" b="1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𝐥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𝐜𝐚𝐩</m:t>
                        </m:r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𝐧</m:t>
                        </m:r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𝐩</m:t>
                        </m:r>
                        <m:sSub>
                          <m:sSubPr>
                            <m:ctrlPr>
                              <a:rPr lang="it-IT" sz="1100" b="1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𝐥</m:t>
                            </m:r>
                          </m:e>
                          <m:sub>
                            <m:r>
                              <a:rPr lang="it-IT" sz="1100" b="1" i="0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𝐦𝐚𝐱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 b="1" i="0" kern="1200">
                <a:solidFill>
                  <a:schemeClr val="tx1"/>
                </a:solidFill>
              </a:endParaRPr>
            </a:p>
          </xdr:txBody>
        </xdr:sp>
      </mc:Choice>
      <mc:Fallback xmlns="">
        <xdr:sp macro="" textlink="">
          <xdr:nvSpPr>
            <xdr:cNvPr id="523" name="TextBox 522">
              <a:extLst>
                <a:ext uri="{FF2B5EF4-FFF2-40B4-BE49-F238E27FC236}">
                  <a16:creationId xmlns:a16="http://schemas.microsoft.com/office/drawing/2014/main" id="{6A7FCAF5-3147-49B6-B18E-91B82A9F8FA2}"/>
                </a:ext>
              </a:extLst>
            </xdr:cNvPr>
            <xdr:cNvSpPr txBox="1"/>
          </xdr:nvSpPr>
          <xdr:spPr>
            <a:xfrm>
              <a:off x="17935575" y="41424225"/>
              <a:ext cx="762580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chemeClr val="tx1"/>
                  </a:solidFill>
                  <a:latin typeface="Cambria Math" panose="02040503050406030204" pitchFamily="18" charset="0"/>
                </a:rPr>
                <a:t>𝐭𝐨𝐥_(𝐜𝐚𝐩,𝐧,𝐩𝐥_𝐦𝐚𝐱 )</a:t>
              </a:r>
              <a:endParaRPr lang="en-US" sz="1100" b="1" i="0" kern="1200">
                <a:solidFill>
                  <a:schemeClr val="tx1"/>
                </a:solidFill>
              </a:endParaRPr>
            </a:p>
          </xdr:txBody>
        </xdr:sp>
      </mc:Fallback>
    </mc:AlternateContent>
    <xdr:clientData/>
  </xdr:oneCellAnchor>
  <xdr:oneCellAnchor>
    <xdr:from>
      <xdr:col>40</xdr:col>
      <xdr:colOff>263525</xdr:colOff>
      <xdr:row>252</xdr:row>
      <xdr:rowOff>152400</xdr:rowOff>
    </xdr:from>
    <xdr:ext cx="742639" cy="2076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4" name="TextBox 523">
              <a:extLst>
                <a:ext uri="{FF2B5EF4-FFF2-40B4-BE49-F238E27FC236}">
                  <a16:creationId xmlns:a16="http://schemas.microsoft.com/office/drawing/2014/main" id="{E0FE2E0F-806B-4F3C-AB91-FEF71831C9B2}"/>
                </a:ext>
              </a:extLst>
            </xdr:cNvPr>
            <xdr:cNvSpPr txBox="1"/>
          </xdr:nvSpPr>
          <xdr:spPr>
            <a:xfrm>
              <a:off x="17941925" y="41586150"/>
              <a:ext cx="742639" cy="2076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𝐭𝐨</m:t>
                    </m:r>
                    <m:sSub>
                      <m:sSubPr>
                        <m:ctrlPr>
                          <a:rPr lang="it-IT" sz="1100" b="1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it-IT" sz="1100" b="1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𝐥</m:t>
                            </m:r>
                          </m:e>
                          <m:sub>
                            <m:r>
                              <a:rPr lang="it-IT" sz="1100" b="1" i="0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𝐜𝐚𝐩</m:t>
                            </m:r>
                            <m:r>
                              <a:rPr lang="it-IT" sz="1100" b="1" i="0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it-IT" sz="1100" b="1" i="0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𝐨𝐩</m:t>
                            </m:r>
                          </m:sub>
                        </m:sSub>
                      </m:e>
                      <m:sub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𝐦𝐚𝐱</m:t>
                        </m:r>
                      </m:sub>
                    </m:sSub>
                  </m:oMath>
                </m:oMathPara>
              </a14:m>
              <a:endParaRPr lang="en-US" sz="1100" b="1" i="0" kern="1200">
                <a:solidFill>
                  <a:schemeClr val="tx1"/>
                </a:solidFill>
              </a:endParaRPr>
            </a:p>
          </xdr:txBody>
        </xdr:sp>
      </mc:Choice>
      <mc:Fallback xmlns="">
        <xdr:sp macro="" textlink="">
          <xdr:nvSpPr>
            <xdr:cNvPr id="524" name="TextBox 523">
              <a:extLst>
                <a:ext uri="{FF2B5EF4-FFF2-40B4-BE49-F238E27FC236}">
                  <a16:creationId xmlns:a16="http://schemas.microsoft.com/office/drawing/2014/main" id="{E0FE2E0F-806B-4F3C-AB91-FEF71831C9B2}"/>
                </a:ext>
              </a:extLst>
            </xdr:cNvPr>
            <xdr:cNvSpPr txBox="1"/>
          </xdr:nvSpPr>
          <xdr:spPr>
            <a:xfrm>
              <a:off x="17941925" y="41586150"/>
              <a:ext cx="742639" cy="2076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chemeClr val="tx1"/>
                  </a:solidFill>
                  <a:latin typeface="Cambria Math" panose="02040503050406030204" pitchFamily="18" charset="0"/>
                </a:rPr>
                <a:t>𝐭𝐨〖𝐥_(𝐜𝐚𝐩,𝐨𝐩)〗_𝐦𝐚𝐱</a:t>
              </a:r>
              <a:endParaRPr lang="en-US" sz="1100" b="1" i="0" kern="1200">
                <a:solidFill>
                  <a:schemeClr val="tx1"/>
                </a:solidFill>
              </a:endParaRPr>
            </a:p>
          </xdr:txBody>
        </xdr:sp>
      </mc:Fallback>
    </mc:AlternateContent>
    <xdr:clientData/>
  </xdr:oneCellAnchor>
  <xdr:oneCellAnchor>
    <xdr:from>
      <xdr:col>40</xdr:col>
      <xdr:colOff>266700</xdr:colOff>
      <xdr:row>254</xdr:row>
      <xdr:rowOff>149225</xdr:rowOff>
    </xdr:from>
    <xdr:ext cx="729495" cy="2068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6" name="TextBox 525">
              <a:extLst>
                <a:ext uri="{FF2B5EF4-FFF2-40B4-BE49-F238E27FC236}">
                  <a16:creationId xmlns:a16="http://schemas.microsoft.com/office/drawing/2014/main" id="{7403F825-F07C-41C9-A5B5-2263639696FA}"/>
                </a:ext>
              </a:extLst>
            </xdr:cNvPr>
            <xdr:cNvSpPr txBox="1"/>
          </xdr:nvSpPr>
          <xdr:spPr>
            <a:xfrm>
              <a:off x="17945100" y="41906825"/>
              <a:ext cx="729495" cy="2068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𝐭𝐨</m:t>
                    </m:r>
                    <m:sSub>
                      <m:sSubPr>
                        <m:ctrlPr>
                          <a:rPr lang="it-IT" sz="1100" b="1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it-IT" sz="1100" b="1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𝐥</m:t>
                            </m:r>
                          </m:e>
                          <m:sub>
                            <m:r>
                              <a:rPr lang="it-IT" sz="1100" b="1" i="0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𝐜𝐚𝐩</m:t>
                            </m:r>
                            <m:r>
                              <a:rPr lang="it-IT" sz="1100" b="1" i="0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it-IT" sz="1100" b="1" i="0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𝐨𝐩</m:t>
                            </m:r>
                          </m:sub>
                        </m:sSub>
                      </m:e>
                      <m:sub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𝐦𝐢𝐧</m:t>
                        </m:r>
                      </m:sub>
                    </m:sSub>
                  </m:oMath>
                </m:oMathPara>
              </a14:m>
              <a:endParaRPr lang="en-US" sz="1100" b="1" i="0" kern="1200">
                <a:solidFill>
                  <a:schemeClr val="tx1"/>
                </a:solidFill>
              </a:endParaRPr>
            </a:p>
          </xdr:txBody>
        </xdr:sp>
      </mc:Choice>
      <mc:Fallback xmlns="">
        <xdr:sp macro="" textlink="">
          <xdr:nvSpPr>
            <xdr:cNvPr id="526" name="TextBox 525">
              <a:extLst>
                <a:ext uri="{FF2B5EF4-FFF2-40B4-BE49-F238E27FC236}">
                  <a16:creationId xmlns:a16="http://schemas.microsoft.com/office/drawing/2014/main" id="{7403F825-F07C-41C9-A5B5-2263639696FA}"/>
                </a:ext>
              </a:extLst>
            </xdr:cNvPr>
            <xdr:cNvSpPr txBox="1"/>
          </xdr:nvSpPr>
          <xdr:spPr>
            <a:xfrm>
              <a:off x="17945100" y="41906825"/>
              <a:ext cx="729495" cy="2068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chemeClr val="tx1"/>
                  </a:solidFill>
                  <a:latin typeface="Cambria Math" panose="02040503050406030204" pitchFamily="18" charset="0"/>
                </a:rPr>
                <a:t>𝐭𝐨〖𝐥_(𝐜𝐚𝐩,𝐨𝐩)〗_𝐦𝐢𝐧</a:t>
              </a:r>
              <a:endParaRPr lang="en-US" sz="1100" b="1" i="0" kern="1200">
                <a:solidFill>
                  <a:schemeClr val="tx1"/>
                </a:solidFill>
              </a:endParaRPr>
            </a:p>
          </xdr:txBody>
        </xdr:sp>
      </mc:Fallback>
    </mc:AlternateContent>
    <xdr:clientData/>
  </xdr:oneCellAnchor>
  <xdr:oneCellAnchor>
    <xdr:from>
      <xdr:col>40</xdr:col>
      <xdr:colOff>263525</xdr:colOff>
      <xdr:row>253</xdr:row>
      <xdr:rowOff>152400</xdr:rowOff>
    </xdr:from>
    <xdr:ext cx="751681" cy="1847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7" name="TextBox 526">
              <a:extLst>
                <a:ext uri="{FF2B5EF4-FFF2-40B4-BE49-F238E27FC236}">
                  <a16:creationId xmlns:a16="http://schemas.microsoft.com/office/drawing/2014/main" id="{D1E87AE9-A1E3-4633-8C01-52B614590448}"/>
                </a:ext>
              </a:extLst>
            </xdr:cNvPr>
            <xdr:cNvSpPr txBox="1"/>
          </xdr:nvSpPr>
          <xdr:spPr>
            <a:xfrm>
              <a:off x="17941925" y="41748075"/>
              <a:ext cx="751681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𝐭𝐨</m:t>
                    </m:r>
                    <m:sSub>
                      <m:sSubPr>
                        <m:ctrlPr>
                          <a:rPr lang="it-IT" sz="1100" b="1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𝐥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𝐜𝐚𝐩</m:t>
                        </m:r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𝐧</m:t>
                        </m:r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𝐩</m:t>
                        </m:r>
                        <m:sSub>
                          <m:sSubPr>
                            <m:ctrlPr>
                              <a:rPr lang="it-IT" sz="1100" b="1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𝐥</m:t>
                            </m:r>
                          </m:e>
                          <m:sub>
                            <m:r>
                              <a:rPr lang="it-IT" sz="1100" b="1" i="0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 b="1" i="0" kern="1200">
                <a:solidFill>
                  <a:schemeClr val="tx1"/>
                </a:solidFill>
              </a:endParaRPr>
            </a:p>
          </xdr:txBody>
        </xdr:sp>
      </mc:Choice>
      <mc:Fallback xmlns="">
        <xdr:sp macro="" textlink="">
          <xdr:nvSpPr>
            <xdr:cNvPr id="527" name="TextBox 526">
              <a:extLst>
                <a:ext uri="{FF2B5EF4-FFF2-40B4-BE49-F238E27FC236}">
                  <a16:creationId xmlns:a16="http://schemas.microsoft.com/office/drawing/2014/main" id="{D1E87AE9-A1E3-4633-8C01-52B614590448}"/>
                </a:ext>
              </a:extLst>
            </xdr:cNvPr>
            <xdr:cNvSpPr txBox="1"/>
          </xdr:nvSpPr>
          <xdr:spPr>
            <a:xfrm>
              <a:off x="17941925" y="41748075"/>
              <a:ext cx="751681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chemeClr val="tx1"/>
                  </a:solidFill>
                  <a:latin typeface="Cambria Math" panose="02040503050406030204" pitchFamily="18" charset="0"/>
                </a:rPr>
                <a:t>𝐭𝐨𝐥_(𝐜𝐚𝐩,𝐧,𝐩𝐥_𝐦𝐢𝐧 )</a:t>
              </a:r>
              <a:endParaRPr lang="en-US" sz="1100" b="1" i="0" kern="1200">
                <a:solidFill>
                  <a:schemeClr val="tx1"/>
                </a:solidFill>
              </a:endParaRPr>
            </a:p>
          </xdr:txBody>
        </xdr:sp>
      </mc:Fallback>
    </mc:AlternateContent>
    <xdr:clientData/>
  </xdr:oneCellAnchor>
  <xdr:oneCellAnchor>
    <xdr:from>
      <xdr:col>31</xdr:col>
      <xdr:colOff>53975</xdr:colOff>
      <xdr:row>257</xdr:row>
      <xdr:rowOff>120650</xdr:rowOff>
    </xdr:from>
    <xdr:ext cx="1409104" cy="2296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3" name="TextBox 542">
              <a:extLst>
                <a:ext uri="{FF2B5EF4-FFF2-40B4-BE49-F238E27FC236}">
                  <a16:creationId xmlns:a16="http://schemas.microsoft.com/office/drawing/2014/main" id="{E7B23EAE-EF76-4777-9C23-65BFEFB4CE23}"/>
                </a:ext>
              </a:extLst>
            </xdr:cNvPr>
            <xdr:cNvSpPr txBox="1"/>
          </xdr:nvSpPr>
          <xdr:spPr>
            <a:xfrm>
              <a:off x="14046200" y="42364025"/>
              <a:ext cx="1409104" cy="2296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𝐭𝐨</m:t>
                    </m:r>
                    <m:sSub>
                      <m:sSubPr>
                        <m:ctrlPr>
                          <a:rPr lang="it-IT" sz="1100" b="1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𝐥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𝐬𝐡𝐚𝐫</m:t>
                        </m:r>
                        <m:sSub>
                          <m:sSubPr>
                            <m:ctrlPr>
                              <a:rPr lang="it-IT" sz="1100" b="1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𝐞</m:t>
                            </m:r>
                          </m:e>
                          <m:sub>
                            <m:r>
                              <a:rPr lang="it-IT" sz="1100" b="1" i="0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𝐦𝐢</m:t>
                            </m:r>
                            <m:sSub>
                              <m:sSubPr>
                                <m:ctrlPr>
                                  <a:rPr lang="it-IT" sz="1100" b="1" i="1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it-IT" sz="1100" b="1" i="0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  <m:t>𝐧</m:t>
                                </m:r>
                              </m:e>
                              <m:sub>
                                <m:r>
                                  <a:rPr lang="it-IT" sz="1100" b="1" i="0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  <m:t>𝐜𝐞𝐦</m:t>
                                </m:r>
                                <m:r>
                                  <a:rPr lang="it-IT" sz="1100" b="1" i="0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  <m:t>;</m:t>
                                </m:r>
                                <m:r>
                                  <a:rPr lang="it-IT" sz="1100" b="1" i="0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  <m:t>𝐥𝐭</m:t>
                                </m:r>
                                <m:r>
                                  <a:rPr lang="it-IT" sz="1100" b="1" i="0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  <m:t>;</m:t>
                                </m:r>
                                <m:r>
                                  <a:rPr lang="it-IT" sz="1100" b="1" i="0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  <m:t>𝐡𝐭</m:t>
                                </m:r>
                                <m:r>
                                  <a:rPr lang="it-IT" sz="1100" b="1" i="0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  <m:t>;</m:t>
                                </m:r>
                                <m:r>
                                  <a:rPr lang="it-IT" sz="1100" b="1" i="0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  <m:t>𝐩𝐨𝐰𝐞𝐫</m:t>
                                </m:r>
                                <m:r>
                                  <a:rPr lang="it-IT" sz="1100" b="1" i="0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  <m:t>;</m:t>
                                </m:r>
                                <m:r>
                                  <a:rPr lang="it-IT" sz="1100" b="1" i="0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  <m:t>𝐬𝐭𝐥</m:t>
                                </m:r>
                              </m:sub>
                            </m:sSub>
                          </m:sub>
                        </m:sSub>
                      </m:sub>
                    </m:sSub>
                  </m:oMath>
                </m:oMathPara>
              </a14:m>
              <a:endParaRPr lang="en-US" sz="1100" b="1" i="0" kern="1200">
                <a:solidFill>
                  <a:schemeClr val="tx1"/>
                </a:solidFill>
              </a:endParaRPr>
            </a:p>
          </xdr:txBody>
        </xdr:sp>
      </mc:Choice>
      <mc:Fallback xmlns="">
        <xdr:sp macro="" textlink="">
          <xdr:nvSpPr>
            <xdr:cNvPr id="543" name="TextBox 542">
              <a:extLst>
                <a:ext uri="{FF2B5EF4-FFF2-40B4-BE49-F238E27FC236}">
                  <a16:creationId xmlns:a16="http://schemas.microsoft.com/office/drawing/2014/main" id="{E7B23EAE-EF76-4777-9C23-65BFEFB4CE23}"/>
                </a:ext>
              </a:extLst>
            </xdr:cNvPr>
            <xdr:cNvSpPr txBox="1"/>
          </xdr:nvSpPr>
          <xdr:spPr>
            <a:xfrm>
              <a:off x="14046200" y="42364025"/>
              <a:ext cx="1409104" cy="2296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chemeClr val="tx1"/>
                  </a:solidFill>
                  <a:latin typeface="Cambria Math" panose="02040503050406030204" pitchFamily="18" charset="0"/>
                </a:rPr>
                <a:t>𝐭𝐨𝐥_(𝐬𝐡𝐚𝐫𝐞_(𝐦𝐢𝐧_(𝐜𝐞𝐦;𝐥𝐭;𝐡𝐭;𝐩𝐨𝐰𝐞𝐫;𝐬𝐭𝐥) ) )</a:t>
              </a:r>
              <a:endParaRPr lang="en-US" sz="1100" b="1" i="0" kern="1200">
                <a:solidFill>
                  <a:schemeClr val="tx1"/>
                </a:solidFill>
              </a:endParaRPr>
            </a:p>
          </xdr:txBody>
        </xdr:sp>
      </mc:Fallback>
    </mc:AlternateContent>
    <xdr:clientData/>
  </xdr:oneCellAnchor>
  <xdr:oneCellAnchor>
    <xdr:from>
      <xdr:col>31</xdr:col>
      <xdr:colOff>34925</xdr:colOff>
      <xdr:row>256</xdr:row>
      <xdr:rowOff>120650</xdr:rowOff>
    </xdr:from>
    <xdr:ext cx="1452962" cy="2296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4" name="TextBox 543">
              <a:extLst>
                <a:ext uri="{FF2B5EF4-FFF2-40B4-BE49-F238E27FC236}">
                  <a16:creationId xmlns:a16="http://schemas.microsoft.com/office/drawing/2014/main" id="{A07F03B7-657B-4C23-8225-52AF910A8505}"/>
                </a:ext>
              </a:extLst>
            </xdr:cNvPr>
            <xdr:cNvSpPr txBox="1"/>
          </xdr:nvSpPr>
          <xdr:spPr>
            <a:xfrm>
              <a:off x="14027150" y="42202100"/>
              <a:ext cx="1452962" cy="2296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1" i="0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𝐭𝐨</m:t>
                    </m:r>
                    <m:sSub>
                      <m:sSubPr>
                        <m:ctrlPr>
                          <a:rPr lang="it-IT" sz="1100" b="1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𝐥</m:t>
                        </m:r>
                      </m:e>
                      <m:sub>
                        <m:r>
                          <a:rPr lang="it-IT" sz="1100" b="1" i="0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𝐬𝐡𝐚𝐫</m:t>
                        </m:r>
                        <m:sSub>
                          <m:sSubPr>
                            <m:ctrlPr>
                              <a:rPr lang="it-IT" sz="1100" b="1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𝐞</m:t>
                            </m:r>
                          </m:e>
                          <m:sub>
                            <m:r>
                              <a:rPr lang="it-IT" sz="1100" b="1" i="0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𝐦𝐚</m:t>
                            </m:r>
                            <m:sSub>
                              <m:sSubPr>
                                <m:ctrlPr>
                                  <a:rPr lang="it-IT" sz="1100" b="1" i="1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it-IT" sz="1100" b="1" i="0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  <m:t>𝐱</m:t>
                                </m:r>
                              </m:e>
                              <m:sub>
                                <m:r>
                                  <a:rPr lang="it-IT" sz="1100" b="1" i="0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  <m:t>𝐜𝐞𝐦</m:t>
                                </m:r>
                                <m:r>
                                  <a:rPr lang="it-IT" sz="1100" b="1" i="0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  <m:t>;</m:t>
                                </m:r>
                                <m:r>
                                  <a:rPr lang="it-IT" sz="1100" b="1" i="0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  <m:t>𝐥𝐭</m:t>
                                </m:r>
                                <m:r>
                                  <a:rPr lang="it-IT" sz="1100" b="1" i="0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  <m:t>;</m:t>
                                </m:r>
                                <m:r>
                                  <a:rPr lang="it-IT" sz="1100" b="1" i="0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  <m:t>𝐡𝐭</m:t>
                                </m:r>
                                <m:r>
                                  <a:rPr lang="it-IT" sz="1100" b="1" i="0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  <m:t>;</m:t>
                                </m:r>
                                <m:r>
                                  <a:rPr lang="it-IT" sz="1100" b="1" i="0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  <m:t>𝐩𝐨𝐰𝐞𝐫</m:t>
                                </m:r>
                                <m:r>
                                  <a:rPr lang="it-IT" sz="1100" b="1" i="0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  <m:t>;</m:t>
                                </m:r>
                                <m:r>
                                  <a:rPr lang="it-IT" sz="1100" b="1" i="0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  <m:t>𝐬𝐭𝐥</m:t>
                                </m:r>
                              </m:sub>
                            </m:sSub>
                          </m:sub>
                        </m:sSub>
                      </m:sub>
                    </m:sSub>
                  </m:oMath>
                </m:oMathPara>
              </a14:m>
              <a:endParaRPr lang="en-US" sz="1100" b="1" i="0" kern="1200">
                <a:solidFill>
                  <a:schemeClr val="tx1"/>
                </a:solidFill>
              </a:endParaRPr>
            </a:p>
          </xdr:txBody>
        </xdr:sp>
      </mc:Choice>
      <mc:Fallback xmlns="">
        <xdr:sp macro="" textlink="">
          <xdr:nvSpPr>
            <xdr:cNvPr id="544" name="TextBox 543">
              <a:extLst>
                <a:ext uri="{FF2B5EF4-FFF2-40B4-BE49-F238E27FC236}">
                  <a16:creationId xmlns:a16="http://schemas.microsoft.com/office/drawing/2014/main" id="{A07F03B7-657B-4C23-8225-52AF910A8505}"/>
                </a:ext>
              </a:extLst>
            </xdr:cNvPr>
            <xdr:cNvSpPr txBox="1"/>
          </xdr:nvSpPr>
          <xdr:spPr>
            <a:xfrm>
              <a:off x="14027150" y="42202100"/>
              <a:ext cx="1452962" cy="2296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 kern="1200">
                  <a:solidFill>
                    <a:schemeClr val="tx1"/>
                  </a:solidFill>
                  <a:latin typeface="Cambria Math" panose="02040503050406030204" pitchFamily="18" charset="0"/>
                </a:rPr>
                <a:t>𝐭𝐨𝐥_(𝐬𝐡𝐚𝐫𝐞_(𝐦𝐚𝐱_(𝐜𝐞𝐦;𝐥𝐭;𝐡𝐭;𝐩𝐨𝐰𝐞𝐫;𝐬𝐭𝐥) ) )</a:t>
              </a:r>
              <a:endParaRPr lang="en-US" sz="1100" b="1" i="0" kern="1200">
                <a:solidFill>
                  <a:schemeClr val="tx1"/>
                </a:solidFill>
              </a:endParaRPr>
            </a:p>
          </xdr:txBody>
        </xdr:sp>
      </mc:Fallback>
    </mc:AlternateContent>
    <xdr:clientData/>
  </xdr:oneCellAnchor>
  <xdr:twoCellAnchor>
    <xdr:from>
      <xdr:col>31</xdr:col>
      <xdr:colOff>38104</xdr:colOff>
      <xdr:row>93</xdr:row>
      <xdr:rowOff>136524</xdr:rowOff>
    </xdr:from>
    <xdr:to>
      <xdr:col>45</xdr:col>
      <xdr:colOff>381004</xdr:colOff>
      <xdr:row>95</xdr:row>
      <xdr:rowOff>38100</xdr:rowOff>
    </xdr:to>
    <xdr:sp macro="" textlink="">
      <xdr:nvSpPr>
        <xdr:cNvPr id="548" name="Right Brace 547">
          <a:extLst>
            <a:ext uri="{FF2B5EF4-FFF2-40B4-BE49-F238E27FC236}">
              <a16:creationId xmlns:a16="http://schemas.microsoft.com/office/drawing/2014/main" id="{F88E4921-53A4-4C71-AE77-E9A590B21ECE}"/>
            </a:ext>
          </a:extLst>
        </xdr:cNvPr>
        <xdr:cNvSpPr/>
      </xdr:nvSpPr>
      <xdr:spPr>
        <a:xfrm rot="16200000">
          <a:off x="16956091" y="12860337"/>
          <a:ext cx="225426" cy="6076950"/>
        </a:xfrm>
        <a:prstGeom prst="rightBrace">
          <a:avLst>
            <a:gd name="adj1" fmla="val 17501"/>
            <a:gd name="adj2" fmla="val 52665"/>
          </a:avLst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oneCellAnchor>
    <xdr:from>
      <xdr:col>39</xdr:col>
      <xdr:colOff>10866</xdr:colOff>
      <xdr:row>93</xdr:row>
      <xdr:rowOff>7712</xdr:rowOff>
    </xdr:from>
    <xdr:ext cx="362086" cy="185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9" name="CasellaDiTesto 60">
              <a:extLst>
                <a:ext uri="{FF2B5EF4-FFF2-40B4-BE49-F238E27FC236}">
                  <a16:creationId xmlns:a16="http://schemas.microsoft.com/office/drawing/2014/main" id="{3BA967B5-D31D-45FB-8AAE-1708A7A055BE}"/>
                </a:ext>
              </a:extLst>
            </xdr:cNvPr>
            <xdr:cNvSpPr txBox="1"/>
          </xdr:nvSpPr>
          <xdr:spPr>
            <a:xfrm>
              <a:off x="17279691" y="15657287"/>
              <a:ext cx="362086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𝐗</m:t>
                        </m:r>
                      </m:e>
                      <m:sub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𝐲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𝐧𝐬𝐭</m:t>
                        </m:r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549" name="CasellaDiTesto 60">
              <a:extLst>
                <a:ext uri="{FF2B5EF4-FFF2-40B4-BE49-F238E27FC236}">
                  <a16:creationId xmlns:a16="http://schemas.microsoft.com/office/drawing/2014/main" id="{3BA967B5-D31D-45FB-8AAE-1708A7A055BE}"/>
                </a:ext>
              </a:extLst>
            </xdr:cNvPr>
            <xdr:cNvSpPr txBox="1"/>
          </xdr:nvSpPr>
          <xdr:spPr>
            <a:xfrm>
              <a:off x="17279691" y="15657287"/>
              <a:ext cx="362086" cy="185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𝐗_(𝐲,𝐧𝐬𝐭)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32</xdr:col>
      <xdr:colOff>104775</xdr:colOff>
      <xdr:row>96</xdr:row>
      <xdr:rowOff>104775</xdr:rowOff>
    </xdr:from>
    <xdr:ext cx="1381725" cy="2019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1" name="CasellaDiTesto 60">
              <a:extLst>
                <a:ext uri="{FF2B5EF4-FFF2-40B4-BE49-F238E27FC236}">
                  <a16:creationId xmlns:a16="http://schemas.microsoft.com/office/drawing/2014/main" id="{A9C20FD5-E723-4B3A-B93F-419C9642505F}"/>
                </a:ext>
              </a:extLst>
            </xdr:cNvPr>
            <xdr:cNvSpPr txBox="1"/>
          </xdr:nvSpPr>
          <xdr:spPr>
            <a:xfrm>
              <a:off x="14506575" y="16240125"/>
              <a:ext cx="1381725" cy="2019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𝐗</m:t>
                        </m:r>
                      </m:e>
                      <m:sub>
                        <m:sSub>
                          <m:sSubPr>
                            <m:ctrlPr>
                              <a:rPr lang="it-IT" sz="110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𝐲</m:t>
                            </m:r>
                          </m:e>
                          <m:sub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𝐜𝐞𝐦</m:t>
                            </m:r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𝐡𝐭</m:t>
                            </m:r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𝐥𝐭</m:t>
                            </m:r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𝐩𝐨𝐰𝐞𝐫</m:t>
                            </m:r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𝐬𝐭𝐥</m:t>
                            </m:r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𝐩𝐨𝐰𝐞𝐫</m:t>
                            </m:r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_</m:t>
                            </m:r>
                            <m:r>
                              <a:rPr lang="it-IT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𝐫𝐞𝐬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551" name="CasellaDiTesto 60">
              <a:extLst>
                <a:ext uri="{FF2B5EF4-FFF2-40B4-BE49-F238E27FC236}">
                  <a16:creationId xmlns:a16="http://schemas.microsoft.com/office/drawing/2014/main" id="{A9C20FD5-E723-4B3A-B93F-419C9642505F}"/>
                </a:ext>
              </a:extLst>
            </xdr:cNvPr>
            <xdr:cNvSpPr txBox="1"/>
          </xdr:nvSpPr>
          <xdr:spPr>
            <a:xfrm>
              <a:off x="14506575" y="16240125"/>
              <a:ext cx="1381725" cy="2019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𝐗_(𝐲_(𝐜𝐞𝐦;𝐡𝐭;𝐥𝐭;𝐩𝐨𝐰𝐞𝐫;𝐬𝐭𝐥;𝐩𝐨𝐰𝐞𝐫_𝐫𝐞𝐬) )</a:t>
              </a:r>
              <a:endParaRPr lang="it-IT" sz="11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tteo Vincenzo Rocco" id="{69B20BE0-18C1-489E-9031-E47E92D5F347}" userId="S::10261181@polimi.it::f0612b38-90a5-4ea6-a107-ffcb2d31d2f2" providerId="AD"/>
  <person displayName="Lorenzo Rinaldi" id="{2606F7B8-FDD0-FA49-8318-B34AB1ED9821}" userId="S::10421550@polimi.it::77d5bfdd-3e88-4678-a8ff-024fe85681f6" providerId="AD"/>
  <person displayName="Debora Ghezzi" id="{4C190604-855F-4C44-9140-208ABDA4E0C9}" userId="S::10690489@polimi.it::43e5621c-6547-4884-821d-2379f27c5e5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4A0C08-E015-4E8F-9354-9D495F31E79B}" name="Table4" displayName="Table4" ref="A1:G14" totalsRowShown="0">
  <autoFilter ref="A1:G14" xr:uid="{844A0C08-E015-4E8F-9354-9D495F31E79B}"/>
  <tableColumns count="7">
    <tableColumn id="1" xr3:uid="{A71986E1-31EC-4C7F-BC67-BA6E44D5EF59}" name="set_key"/>
    <tableColumn id="2" xr3:uid="{4FAEC220-EA45-4A76-9452-5A6EF1A4D9B8}" name="description"/>
    <tableColumn id="3" xr3:uid="{0D6D645A-E096-46A8-B15A-AC698DC2AC31}" name="split_problem"/>
    <tableColumn id="4" xr3:uid="{EAA2D4ED-8877-4285-BB01-807B6030852B}" name="copy_from"/>
    <tableColumn id="5" xr3:uid="{D4CFF09B-BE0E-4AD1-95F0-648F891F30B6}" name="filters" dataDxfId="89"/>
    <tableColumn id="7" xr3:uid="{791B79CC-6AB5-9740-85D7-C0F6C2149502}" name="aggregations"/>
    <tableColumn id="6" xr3:uid="{D013E4D6-EBF3-4C88-939A-46381C3DC7EC}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0A9BDFA-DD91-4235-974F-330C3CDE5F8B}" name="Table3" displayName="Table3" ref="A1:W255" totalsRowShown="0" headerRowDxfId="88" dataDxfId="87">
  <autoFilter ref="A1:W255" xr:uid="{B0A9BDFA-DD91-4235-974F-330C3CDE5F8B}"/>
  <sortState xmlns:xlrd2="http://schemas.microsoft.com/office/spreadsheetml/2017/richdata2" ref="A2:W255">
    <sortCondition ref="A2:A255"/>
  </sortState>
  <tableColumns count="23">
    <tableColumn id="1" xr3:uid="{A42F7C2D-2FBE-4E17-AF3D-94C7875B3998}" name="table_key" dataDxfId="86"/>
    <tableColumn id="2" xr3:uid="{BA0332E2-E3AB-4078-BF90-F51236DA75F4}" name="description" dataDxfId="85"/>
    <tableColumn id="3" xr3:uid="{3742990A-76D2-4DCC-9E95-87477B7CBE86}" name="type" dataDxfId="84"/>
    <tableColumn id="4" xr3:uid="{E24AC7EA-9F07-4715-AB06-B8863ED8C068}" name="integer" dataDxfId="83"/>
    <tableColumn id="5" xr3:uid="{B60CFD98-DE0E-4B7C-8F04-9332A60CD9EA}" name="coordinates" dataDxfId="82"/>
    <tableColumn id="6" xr3:uid="{33F97FDE-8142-4914-8665-AA8FC7E33BF8}" name="variables_info" dataDxfId="81"/>
    <tableColumn id="7" xr3:uid="{AFB60AD2-0AEA-4270-AF85-01D637465E2A}" name="value" dataDxfId="80"/>
    <tableColumn id="21" xr3:uid="{B38DDDA0-5526-458E-8904-82DF13408C3F}" name="blank_fill" dataDxfId="79"/>
    <tableColumn id="23" xr3:uid="{0E0117DD-D3C6-41A1-89E5-8935E1E75816}" name="nonneg" dataDxfId="78"/>
    <tableColumn id="8" xr3:uid="{AD85B0C5-1302-4DA6-AB6B-B85C5FF73C3F}" name="sectors" dataDxfId="77"/>
    <tableColumn id="9" xr3:uid="{4BF76ABB-531C-450D-958C-7E2B66F3E2FC}" name="products" dataDxfId="76"/>
    <tableColumn id="10" xr3:uid="{22AABF17-C187-412B-AF5C-343CBB7DAAE8}" name="technologies" dataDxfId="75"/>
    <tableColumn id="11" xr3:uid="{F82E888F-08F3-469B-94BB-AE80F9F70FF6}" name="hours" dataDxfId="74"/>
    <tableColumn id="12" xr3:uid="{2FCF538C-39C9-4E8A-8A2D-1ACA487CDD43}" name="years" dataDxfId="73"/>
    <tableColumn id="13" xr3:uid="{FD4F1E48-9152-4EB9-8AD8-5621D9410C22}" name="products_env" dataDxfId="72"/>
    <tableColumn id="16" xr3:uid="{EB2DBD4B-0D7E-400B-BD2C-F6A47CE672E2}" name="physical_data" dataDxfId="71"/>
    <tableColumn id="18" xr3:uid="{177D8DBB-BE27-45F6-B3A4-51F5EFF5836A}" name="capacities" dataDxfId="70"/>
    <tableColumn id="19" xr3:uid="{F52E9160-0673-4998-B0D6-08857ADAD60A}" name="costs" dataDxfId="69"/>
    <tableColumn id="17" xr3:uid="{B3899F3F-3D1F-4D85-B85E-05EB89A06F4A}" name="economic_data" dataDxfId="68"/>
    <tableColumn id="20" xr3:uid="{802E9927-F570-4FA6-9094-B7A53F8A6051}" name="constraints"/>
    <tableColumn id="22" xr3:uid="{36773E46-4E6B-432E-96C1-713AC95F09E1}" name="tolerances" dataDxfId="67"/>
    <tableColumn id="14" xr3:uid="{7D11312F-5AE6-4688-8E62-3389779FF322}" name="notes" dataDxfId="66"/>
    <tableColumn id="15" xr3:uid="{F4C76F9D-33B2-423D-AB21-404A1EB210CC}" name="skip" dataDxfId="6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E59FD4-56C0-4634-A699-BE1AF40A8825}" name="Table22" displayName="Table22" ref="A1:E97" totalsRowShown="0" dataDxfId="64">
  <autoFilter ref="A1:E97" xr:uid="{8FE59FD4-56C0-4634-A699-BE1AF40A8825}"/>
  <sortState xmlns:xlrd2="http://schemas.microsoft.com/office/spreadsheetml/2017/richdata2" ref="A2:E79">
    <sortCondition ref="D1:D79"/>
  </sortState>
  <tableColumns count="5">
    <tableColumn id="1" xr3:uid="{B2917784-952B-472C-A9B3-5B6FB04A9552}" name="problem_key" dataDxfId="63"/>
    <tableColumn id="2" xr3:uid="{D93B1328-C7F0-4BA6-9DC8-7BE64A205703}" name="objective" dataDxfId="62"/>
    <tableColumn id="3" xr3:uid="{F97FB7D4-8831-4D29-A1C6-8FA213CB9B43}" name="expressions" dataDxfId="61"/>
    <tableColumn id="5" xr3:uid="{A4F599A0-29E0-4381-A274-D251E60B1B71}" name="notes" dataDxfId="60"/>
    <tableColumn id="4" xr3:uid="{87FD884F-5A4E-4B16-AC13-36560067A404}" name="skip" dataDxfId="5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5049F35-AB05-42C6-B002-DAE7DCC7DEA2}" name="Table79" displayName="Table79" ref="A1:G30" totalsRowShown="0">
  <autoFilter ref="A1:G30" xr:uid="{45049F35-AB05-42C6-B002-DAE7DCC7DEA2}"/>
  <tableColumns count="7">
    <tableColumn id="2" xr3:uid="{5BD7B715-247D-420E-8B0F-E384823FE1AF}" name="id" dataDxfId="58"/>
    <tableColumn id="16" xr3:uid="{3FF063CC-B986-4B0C-97B8-0A8150C506F4}" name="sectors_Name"/>
    <tableColumn id="9" xr3:uid="{A6159885-6D3B-41AA-A7B1-7492609AEE18}" name="sectors_time_resolution" dataDxfId="57"/>
    <tableColumn id="13" xr3:uid="{6F9B474F-1F76-4F9F-A3D0-9B8EDDF7593D}" name="sectors_region"/>
    <tableColumn id="3" xr3:uid="{19EA1369-4070-4883-B736-6380E82ABAF9}" name="sectors_type" dataDxfId="56"/>
    <tableColumn id="4" xr3:uid="{877CE89A-F7D0-624E-AD13-7EDF66DD1652}" name="sectors_agg_1" dataDxfId="55"/>
    <tableColumn id="1" xr3:uid="{C3C789F9-D7EB-4649-8CE7-03EAB5E3A91D}" name="notes" dataDxfId="54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8BA867-527A-492B-8D02-13D319C0E2B1}" name="Table7" displayName="Table7" ref="A1:T116" totalsRowShown="0">
  <autoFilter ref="A1:T116" xr:uid="{AE8BA867-527A-492B-8D02-13D319C0E2B1}"/>
  <tableColumns count="20">
    <tableColumn id="2" xr3:uid="{902818D4-5223-4584-B746-91905A68D0E9}" name="id" dataDxfId="53"/>
    <tableColumn id="3" xr3:uid="{3AAC826B-FFD1-459D-8174-403FECB55524}" name="technologies_Name" dataDxfId="52"/>
    <tableColumn id="6" xr3:uid="{34D0CDC3-9DC5-4644-9390-D4AE313719B7}" name="technologies_type_physical" dataDxfId="51"/>
    <tableColumn id="5" xr3:uid="{1AB038DD-716F-4785-9D0E-9119A37D82D7}" name="technologies_type_economic" dataDxfId="50"/>
    <tableColumn id="9" xr3:uid="{817C218F-682F-4343-AF4D-5962D6C72122}" name="technologies_time_resolution" dataDxfId="49"/>
    <tableColumn id="13" xr3:uid="{6B2CCA2D-026B-4C90-B9ED-D0324A318E93}" name="technologies_region" dataDxfId="48"/>
    <tableColumn id="15" xr3:uid="{490D3B5F-8295-4D72-88B9-7661AC45E5E4}" name="technologies_type" dataDxfId="47"/>
    <tableColumn id="10" xr3:uid="{88F04163-8541-48CB-A44B-331159EBDD8F}" name="technologies_capacity" dataDxfId="46"/>
    <tableColumn id="7" xr3:uid="{501B9FAE-7E1A-429B-8865-2CF27E763935}" name="technologies_eco_unit" dataDxfId="45"/>
    <tableColumn id="8" xr3:uid="{E8C62986-6017-46F9-B1E5-1A4ECBD8188A}" name="technologies_phy_unit" dataDxfId="44"/>
    <tableColumn id="14" xr3:uid="{85C9C155-F0C4-424B-A509-2112B31129DF}" name="technologies_phy_capacity_unit" dataDxfId="43"/>
    <tableColumn id="1" xr3:uid="{414495E6-82B9-4693-8122-7618C12C1876}" name="technologies_group" dataDxfId="42"/>
    <tableColumn id="17" xr3:uid="{FC4B78CC-982B-A541-8009-C1194CED579C}" name="technologies_group_2" dataDxfId="41"/>
    <tableColumn id="18" xr3:uid="{35F078D0-776D-4CBD-9923-F1EAA16C6C75}" name="technologies_group_3" dataDxfId="40"/>
    <tableColumn id="11" xr3:uid="{C93F5544-4ECB-9246-902D-CE8D630C00E5}" name="technologies_agg_1" dataDxfId="39"/>
    <tableColumn id="4" xr3:uid="{0F0BD228-0DEF-DC4A-9B4E-34224B0A44A2}" name="technologies_agg_IEA" dataDxfId="38"/>
    <tableColumn id="16" xr3:uid="{F90D50B8-EAEB-8241-8985-B16CB6EA81BE}" name="technologies_agg_group" dataDxfId="37"/>
    <tableColumn id="19" xr3:uid="{CD11A87D-AB37-EE4B-94F3-74F744EF8727}" name="technologies_agg_sector" dataDxfId="36"/>
    <tableColumn id="20" xr3:uid="{AD9CDF0F-93BA-EC49-B846-1DC361430FC7}" name="technologies_agg_sector_2" dataDxfId="35"/>
    <tableColumn id="12" xr3:uid="{BE11039F-1867-4F8E-B464-B72D43F19A06}" name="notes" dataDxfId="34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E61FBE-8001-459C-863A-E0CB8421B9A2}" name="Table2" displayName="Table2" ref="A1:K82" totalsRowShown="0">
  <autoFilter ref="A1:K82" xr:uid="{D7E61FBE-8001-459C-863A-E0CB8421B9A2}">
    <filterColumn colId="2">
      <filters>
        <filter val="both"/>
        <filter val="physical"/>
      </filters>
    </filterColumn>
  </autoFilter>
  <sortState xmlns:xlrd2="http://schemas.microsoft.com/office/spreadsheetml/2017/richdata2" ref="A2:K81">
    <sortCondition ref="B1:B81"/>
  </sortState>
  <tableColumns count="11">
    <tableColumn id="1" xr3:uid="{19B54E9D-913D-4443-B384-CEFE16CDDBD7}" name="id" dataDxfId="33"/>
    <tableColumn id="2" xr3:uid="{4C6F45E2-68A9-4C6B-BCC8-4D7C51CFB3B3}" name="products_Name" dataDxfId="32"/>
    <tableColumn id="3" xr3:uid="{FC903BA3-BF0C-4AA5-B0E7-3D39A8FA568B}" name="products_scope" dataDxfId="31"/>
    <tableColumn id="8" xr3:uid="{6A8A5D87-D6E7-4CFB-8C0D-6D00CE0DA8BE}" name="products_time_resolution" dataDxfId="30"/>
    <tableColumn id="11" xr3:uid="{C64249AD-4E07-4E17-920D-7090DA9F7B74}" name="products_type" dataDxfId="29"/>
    <tableColumn id="5" xr3:uid="{4FDF0BC6-7247-40E5-8078-D6D2363008C0}" name="products_eco_unit" dataDxfId="28"/>
    <tableColumn id="7" xr3:uid="{A3BB3BB6-F677-4076-AD3E-C5DA601ABC7D}" name="products_phy_unit" dataDxfId="27"/>
    <tableColumn id="10" xr3:uid="{838A9527-C3B5-476D-B800-BE628B1B97BF}" name="products_by_prod" dataDxfId="26"/>
    <tableColumn id="9" xr3:uid="{9AAA2354-97B6-BE4E-BDF4-DF8AF18DE784}" name="products_agg_1" dataDxfId="25"/>
    <tableColumn id="6" xr3:uid="{6567F335-4E55-564E-BB5E-10C212FE66B2}" name="products_agg_IEA" dataDxfId="24"/>
    <tableColumn id="4" xr3:uid="{5F989B9C-821A-4EAB-8BD1-F392BFE098E4}" name="notes" dataDxfId="23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995635-2656-4231-AF74-F4EE9E62D5A4}" name="Table256" displayName="Table256" ref="A1:E97" totalsRowShown="0">
  <autoFilter ref="A1:E97" xr:uid="{D7E61FBE-8001-459C-863A-E0CB8421B9A2}"/>
  <tableColumns count="5">
    <tableColumn id="1" xr3:uid="{9F604518-790F-4264-9111-00BAE259189D}" name="id" dataDxfId="22"/>
    <tableColumn id="2" xr3:uid="{BD2C8404-3A5D-4AE4-929D-A810CFB8EA4D}" name="hours_Name" dataDxfId="21"/>
    <tableColumn id="6" xr3:uid="{75087DF5-718D-49ED-B190-0A11A7D6A856}" name="hours_last_hour"/>
    <tableColumn id="8" xr3:uid="{E1836FD9-57EF-4339-A665-A91B0D94E3D1}" name="hours_season"/>
    <tableColumn id="3" xr3:uid="{D7BC8EE7-0DC5-4A80-AB01-1299DBDEB8F3}" name="notes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496B74-0BF9-40F5-A10E-0EF57D80F0DE}" name="Table27" displayName="Table27" ref="A1:F6" totalsRowShown="0">
  <autoFilter ref="A1:F6" xr:uid="{D7E61FBE-8001-459C-863A-E0CB8421B9A2}"/>
  <tableColumns count="6">
    <tableColumn id="1" xr3:uid="{E8B4D572-2B12-4833-9062-71C88D32C231}" name="id" dataDxfId="20"/>
    <tableColumn id="2" xr3:uid="{1E30AFDA-F6C3-457E-8871-283FFE4A05EF}" name="products_env_Name" dataDxfId="19"/>
    <tableColumn id="7" xr3:uid="{B0806CEC-666D-4BC6-981C-6CFAC84C1879}" name="products_env_unit"/>
    <tableColumn id="10" xr3:uid="{76BDF9DA-2813-47DA-B1DD-E863EAE32ED4}" name="products_env_type"/>
    <tableColumn id="3" xr3:uid="{C93293DB-543A-4D9A-BF16-4F48A3D41358}" name="products_env_emissions_category" dataDxfId="18"/>
    <tableColumn id="5" xr3:uid="{2E2C69A4-BD7C-4083-AA12-C6D32232158B}" name="notes" dataDxfId="17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5AFB2D-DD2E-4F18-A3A6-A99F1C94C8F7}" name="Table25" displayName="Table25" ref="A1:F62" totalsRowShown="0">
  <autoFilter ref="A1:F62" xr:uid="{D7E61FBE-8001-459C-863A-E0CB8421B9A2}"/>
  <tableColumns count="6">
    <tableColumn id="1" xr3:uid="{03E67981-4448-408B-A72C-8B3CF17D7938}" name="id" dataDxfId="16"/>
    <tableColumn id="2" xr3:uid="{E5333574-AF06-4292-A27C-2919089E0ED2}" name="years_Name"/>
    <tableColumn id="3" xr3:uid="{B692E067-D9F5-4DF4-9544-9A10F2BD95C1}" name="years_time_scope"/>
    <tableColumn id="4" xr3:uid="{89C5C557-F325-4893-B988-8846ED35B16C}" name="years_emissions"/>
    <tableColumn id="6" xr3:uid="{420E5C0A-CAB1-3642-8DEA-46A4D54D90EC}" name="years_agg_scope_agg"/>
    <tableColumn id="5" xr3:uid="{8273105B-9662-4CE7-A125-DEDF7178FA3D}" name="notes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A454B4A-3C94-40B5-AACB-58D67B01972A}" name="Table2710111417" displayName="Table2710111417" ref="A1:D7" totalsRowShown="0">
  <autoFilter ref="A1:D7" xr:uid="{D7E61FBE-8001-459C-863A-E0CB8421B9A2}"/>
  <tableColumns count="4">
    <tableColumn id="4" xr3:uid="{CEAF690D-9657-453F-BB19-9D7C9793294B}" name="id" dataDxfId="15"/>
    <tableColumn id="2" xr3:uid="{07669FEE-FC09-4FF8-B1AC-39987196DEA0}" name="capacities_Name" dataDxfId="14"/>
    <tableColumn id="1" xr3:uid="{1FA72845-9FCA-484D-9492-E07B8A4BCC3F}" name="capacities_type"/>
    <tableColumn id="5" xr3:uid="{DAF41AB1-3708-4AD0-989C-4F2EC2B176F8}" name="notes"/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730E63D-6CF6-4A5B-AEC1-DD277277B080}" name="Table27101114" displayName="Table27101114" ref="A1:D19" totalsRowShown="0">
  <autoFilter ref="A1:D19" xr:uid="{D7E61FBE-8001-459C-863A-E0CB8421B9A2}"/>
  <tableColumns count="4">
    <tableColumn id="4" xr3:uid="{7C719C8B-1248-4383-8433-6AE2031AF600}" name="id" dataDxfId="13"/>
    <tableColumn id="2" xr3:uid="{401B9689-5516-4B65-A8ED-543AE7576013}" name="physical_data_Name" dataDxfId="12"/>
    <tableColumn id="10" xr3:uid="{E1D22286-E21C-4822-B08B-CB9F2EEE3D9C}" name="physical_data_type"/>
    <tableColumn id="5" xr3:uid="{E458E8AF-BCF1-47F7-80C1-12FD3722390D}" name="notes"/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A6D3F9C-5327-48DF-A966-CBB0FDEBBD21}" name="Table2710111416" displayName="Table2710111416" ref="A1:D3" totalsRowShown="0">
  <autoFilter ref="A1:D3" xr:uid="{D7E61FBE-8001-459C-863A-E0CB8421B9A2}"/>
  <tableColumns count="4">
    <tableColumn id="4" xr3:uid="{F85C7EDC-12F1-4DC8-B3A2-DA1919E24F33}" name="id" dataDxfId="11"/>
    <tableColumn id="2" xr3:uid="{513A43BF-CC7B-40B3-996F-0D3E742433BE}" name="economic_data_Name" dataDxfId="10"/>
    <tableColumn id="10" xr3:uid="{B3CDC261-18DA-4C9D-8D41-E4D5DC130124}" name="economic_data_type"/>
    <tableColumn id="5" xr3:uid="{E3D75CFD-2FB6-4A74-AA42-581B3E77B991}" name="notes"/>
  </tableColumns>
  <tableStyleInfo name="TableStyleMedium2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64A2F5C-9D80-4B7C-ADEA-9B38C95BB71F}" name="Table271011141718" displayName="Table271011141718" ref="A1:E12" totalsRowShown="0">
  <autoFilter ref="A1:E12" xr:uid="{D7E61FBE-8001-459C-863A-E0CB8421B9A2}"/>
  <tableColumns count="5">
    <tableColumn id="4" xr3:uid="{7729B2E6-3F4B-42F5-A450-4C792E938A9D}" name="id" dataDxfId="9"/>
    <tableColumn id="2" xr3:uid="{ECCB637B-3683-435A-A576-0854BB67DCCD}" name="costs_Name" dataDxfId="8"/>
    <tableColumn id="1" xr3:uid="{A64A9B81-25F6-4D2C-8DCE-756C55465BB6}" name="costs_type"/>
    <tableColumn id="3" xr3:uid="{1C40EC61-BD6B-4105-84C5-FC636855610C}" name="costs_cost_unit"/>
    <tableColumn id="5" xr3:uid="{06D68C2C-D237-4B51-A21C-D55EDDBA5653}" name="notes"/>
  </tableColumns>
  <tableStyleInfo name="TableStyleMedium2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8FC0C8-AD7C-4531-AA8F-C4F3C0FD0B49}" name="Table27101114171810" displayName="Table27101114171810" ref="A1:D15" totalsRowShown="0">
  <autoFilter ref="A1:D15" xr:uid="{D7E61FBE-8001-459C-863A-E0CB8421B9A2}"/>
  <tableColumns count="4">
    <tableColumn id="4" xr3:uid="{65D5A6EA-3007-46CF-BABC-99A17F3F916E}" name="id" dataDxfId="7"/>
    <tableColumn id="2" xr3:uid="{FA43246A-0526-48DD-A9F3-D41078F7FA4F}" name="constraints_Name" dataDxfId="6"/>
    <tableColumn id="1" xr3:uid="{B6A9ABB4-B1AE-43A7-BD33-FEE091A53000}" name="constraints_type"/>
    <tableColumn id="5" xr3:uid="{09C28187-48F1-41A0-81D0-9E038198F661}" name="notes"/>
  </tableColumns>
  <tableStyleInfo name="TableStyleMedium2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1E3690D-1C80-4987-8915-10CFC93A67A2}" name="Table2710111417181019" displayName="Table2710111417181019" ref="A1:D7" totalsRowShown="0">
  <autoFilter ref="A1:D7" xr:uid="{D7E61FBE-8001-459C-863A-E0CB8421B9A2}"/>
  <tableColumns count="4">
    <tableColumn id="4" xr3:uid="{59BA2BFC-C0FE-4D03-BB4C-C4096A025221}" name="id" dataDxfId="5"/>
    <tableColumn id="2" xr3:uid="{E78EE6A4-6492-4CE3-BF41-E59C14EA55F4}" name="tolerances_Name" dataDxfId="4"/>
    <tableColumn id="1" xr3:uid="{8A545B19-87C2-4D2E-A976-D0B4FE858EEF}" name="tolerances_constraint"/>
    <tableColumn id="5" xr3:uid="{8F6A21D8-5794-435A-86A3-78ABFB7BF3AF}" name="notes"/>
  </tableColumns>
  <tableStyleInfo name="TableStyleMedium2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94D3315-C84D-4E2E-886C-7CBA36AB2BFD}" name="Table10" displayName="Table10" ref="A1:C2" totalsRowShown="0" headerRowBorderDxfId="3" tableBorderDxfId="2">
  <autoFilter ref="A1:C2" xr:uid="{694D3315-C84D-4E2E-886C-7CBA36AB2BFD}"/>
  <tableColumns count="3">
    <tableColumn id="1" xr3:uid="{F5DD3776-2490-45F1-9BA2-DF7F10E2D88F}" name="id"/>
    <tableColumn id="2" xr3:uid="{B5A9D85A-C2DB-47FE-A293-84A319B8E82B}" name="scenarios_Name"/>
    <tableColumn id="4" xr3:uid="{4F48DA26-1740-4C1F-934A-F3689E38E7BA}" name="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" dT="2024-09-26T13:58:16.85" personId="{2606F7B8-FDD0-FA49-8318-B34AB1ED9821}" id="{5694645B-E3EE-584D-A720-A07E8FF19E72}">
    <text>Only exogenous tables</text>
  </threadedComment>
  <threadedComment ref="G23" dT="2024-09-26T14:14:40.54" personId="{2606F7B8-FDD0-FA49-8318-B34AB1ED9821}" id="{DBE20936-1433-214D-99D9-5670A56AA21A}">
    <text>Check EUROSTAT db</text>
  </threadedComment>
  <threadedComment ref="G24" dT="2024-09-26T14:14:40.54" personId="{2606F7B8-FDD0-FA49-8318-B34AB1ED9821}" id="{11D0B8DC-5EDB-0648-B310-CF5AC38BB120}">
    <text>Check EUROSTAT db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C1" dT="2024-09-09T11:25:18.70" personId="{69B20BE0-18C1-489E-9031-E47E92D5F347}" id="{C50CAB7B-36FA-4955-85CA-B0A873002F5B}">
    <text>endogenous variables in red</text>
  </threadedComment>
  <threadedComment ref="AV23" dT="2024-08-27T09:46:23.64" personId="{69B20BE0-18C1-489E-9031-E47E92D5F347}" id="{8F621FB7-6DBF-41F5-A4E8-8BA0C640EFEB}">
    <text>final consumption coefficients (J/€), calculated based on the first year of simulation.
Use of physical commodities with respect to total economic activity of the related sectors.</text>
  </threadedComment>
  <threadedComment ref="AZ46" dT="2024-08-27T08:21:20.02" personId="{69B20BE0-18C1-489E-9031-E47E92D5F347}" id="{C946F5C6-570A-42A7-9E91-FED4427AB551}">
    <text>length of the period described by the supply/demand profiles (example: if the period is the typical day, it is 24 h/period).
defined as a scalar</text>
  </threadedComment>
  <threadedComment ref="AZ48" dT="2024-08-27T08:21:20.02" personId="{69B20BE0-18C1-489E-9031-E47E92D5F347}" id="{2778E426-62A9-4AC3-A3F4-6D1029024D34}">
    <text>range of the years set (1, 2, 3, … until the end of years set)</text>
  </threadedComment>
  <threadedComment ref="E50" dT="2024-08-31T14:06:20.50" personId="{69B20BE0-18C1-489E-9031-E47E92D5F347}" id="{23D25E50-8486-4288-AFDD-EECBEDB745AF}">
    <text>intra-problem set</text>
  </threadedComment>
  <threadedComment ref="AV50" dT="2024-08-27T11:19:56.49" personId="{69B20BE0-18C1-489E-9031-E47E92D5F347}" id="{20E578EF-5354-4CE7-AD07-2B07592A13F6}">
    <text>domanda finale fisica da dati storici. poi il modello andrà calibrato per far tornare bene domanda, attività, emissioni, capacità, ...</text>
  </threadedComment>
  <threadedComment ref="E59" dT="2024-08-31T14:06:46.25" personId="{69B20BE0-18C1-489E-9031-E47E92D5F347}" id="{9EC70082-55EB-448A-BE82-22CD0011962E}">
    <text>intra-problem set</text>
  </threadedComment>
  <threadedComment ref="AV59" dT="2024-08-27T11:16:19.94" personId="{69B20BE0-18C1-489E-9031-E47E92D5F347}" id="{A7548844-A45D-4792-A783-1C33F142763B}">
    <text>variabile da costruire a partire da domanda totale finale e attività intermedia economiche. 
per la run del solo modello fisico, si considera completamente esogena.</text>
  </threadedComment>
  <threadedComment ref="E62" dT="2024-08-31T14:06:54.83" personId="{69B20BE0-18C1-489E-9031-E47E92D5F347}" id="{A948316F-8BCB-4339-8216-4B7B345CEDAC}">
    <text>intra-problem set</text>
  </threadedComment>
  <threadedComment ref="AV62" dT="2024-08-27T11:46:10.88" personId="{69B20BE0-18C1-489E-9031-E47E92D5F347}" id="{BF1E0D21-A35F-4EFE-AFDA-4BE70665BE00}">
    <text xml:space="preserve">questa tabella dati si costruisce in parte con dati storici, in parte con dati di anni modellati. </text>
  </threadedComment>
  <threadedComment ref="AV62" dT="2024-08-27T11:47:48.49" personId="{69B20BE0-18C1-489E-9031-E47E92D5F347}" id="{B312575C-666C-4BCE-8913-E6289329E4B3}" parentId="{BF1E0D21-A35F-4EFE-AFDA-4BE70665BE00}">
    <text>rispetto al modello ey, la divisione della domanda oraria per il numero di periodi la si farà direttamente nel bilancio di domanda/attività</text>
  </threadedComment>
  <threadedComment ref="AF76" dT="2024-09-25T13:25:07.84" personId="{69B20BE0-18C1-489E-9031-E47E92D5F347}" id="{AE063BCB-B22D-41A8-92FB-B0CC1E4256FA}">
    <text>these coefficients are quantified as unit_product_env / unit_energy_output (typically kg/kWh)</text>
  </threadedComment>
  <threadedComment ref="AV76" dT="2024-09-25T13:25:36.80" personId="{69B20BE0-18C1-489E-9031-E47E92D5F347}" id="{70D6231D-ABCF-4026-8C6E-E0872D826BED}">
    <text>these coefficients are quantified as unit_product_env / unit_economic_output (typically kg/€)</text>
  </threadedComment>
  <threadedComment ref="E80" dT="2024-08-31T14:06:54.83" personId="{69B20BE0-18C1-489E-9031-E47E92D5F347}" id="{F36B0CA7-FF24-47D7-AC87-C725B1AEBB16}">
    <text>intra-problem set</text>
  </threadedComment>
  <threadedComment ref="H80" dT="2024-09-25T14:53:06.87" personId="{69B20BE0-18C1-489E-9031-E47E92D5F347}" id="{323347A0-3962-42E5-862D-A9C64A6501CE}">
    <text>in using r_v,env,p, products_env becomes intra-problem set</text>
  </threadedComment>
  <threadedComment ref="AF80" dT="2024-09-25T13:25:07.84" personId="{69B20BE0-18C1-489E-9031-E47E92D5F347}" id="{547B5D60-4602-4787-BF64-92B649BB2C08}">
    <text>env transactions functions of technology activity, included in the detailed analysis of emissions</text>
  </threadedComment>
  <threadedComment ref="BC80" dT="2024-09-25T11:47:51.51" personId="{69B20BE0-18C1-489E-9031-E47E92D5F347}" id="{2F00023E-FFA1-4579-9EB0-974D0B5AB6A4}">
    <text xml:space="preserve">determines the unit environmental transactions in blended flows.
in the variables map, only a cluster of blended flows is represented to avoid graphical fragmenation of algebraic items.
</text>
  </threadedComment>
  <threadedComment ref="E83" dT="2024-08-31T14:06:54.83" personId="{69B20BE0-18C1-489E-9031-E47E92D5F347}" id="{585159EA-1632-4E04-B9AE-85DD3A664E15}">
    <text>intra-problem set</text>
  </threadedComment>
  <threadedComment ref="H87" dT="2024-09-25T14:54:02.71" personId="{69B20BE0-18C1-489E-9031-E47E92D5F347}" id="{2F38E72C-003E-480D-97ED-0ADE6A878371}">
    <text>intra-problem set
r_vu,T and r_vu,C are distinct variables but here are represented with same block</text>
  </threadedComment>
  <threadedComment ref="AF87" dT="2024-10-08T07:56:36.52" personId="{69B20BE0-18C1-489E-9031-E47E92D5F347}" id="{B9B8DE07-95D9-44AA-9808-B8931EF0090D}">
    <text>env transactions filter</text>
  </threadedComment>
  <threadedComment ref="E99" dT="2024-08-31T14:06:54.83" personId="{69B20BE0-18C1-489E-9031-E47E92D5F347}" id="{8C2FED18-0D69-49D3-8936-78220C6E090A}">
    <text>intra-problem set</text>
  </threadedComment>
  <threadedComment ref="E102" dT="2025-02-11T13:06:27.84" personId="{4C190604-855F-4C44-9140-208ABDA4E0C9}" id="{94F850F2-6006-4C3F-99F4-B117C169921E}">
    <text>intra-problem set</text>
  </threadedComment>
  <threadedComment ref="E105" dT="2024-08-31T14:06:54.83" personId="{69B20BE0-18C1-489E-9031-E47E92D5F347}" id="{891CB500-F9EE-46D9-B3C2-33CB6C815560}">
    <text>intra-problem set</text>
  </threadedComment>
  <threadedComment ref="E110" dT="2025-02-11T13:07:47.32" personId="{4C190604-855F-4C44-9140-208ABDA4E0C9}" id="{E85EC7A4-28D1-455E-A583-BBF6538B9449}">
    <text>intra-problem set</text>
  </threadedComment>
  <threadedComment ref="E116" dT="2024-08-31T14:06:54.83" personId="{69B20BE0-18C1-489E-9031-E47E92D5F347}" id="{8A615649-E4F4-4BF1-BC6D-E09672738874}">
    <text>intra-problem set</text>
  </threadedComment>
  <threadedComment ref="E125" dT="2024-08-31T14:06:54.83" personId="{69B20BE0-18C1-489E-9031-E47E92D5F347}" id="{35510A4F-7DAD-4AE1-88B3-A64A5AD8E9C9}">
    <text>intra-problem set</text>
  </threadedComment>
  <threadedComment ref="E140" dT="2024-08-31T14:06:54.83" personId="{69B20BE0-18C1-489E-9031-E47E92D5F347}" id="{ACFE49F9-B41F-47A3-BF59-AD116E651B83}">
    <text>intra-problem set</text>
  </threadedComment>
  <threadedComment ref="E145" dT="2024-08-31T14:06:54.83" personId="{69B20BE0-18C1-489E-9031-E47E92D5F347}" id="{6BF2C36F-D885-41E5-A15D-B4538651F330}">
    <text>intra-problem set</text>
  </threadedComment>
  <threadedComment ref="E153" dT="2024-08-31T14:06:54.83" personId="{69B20BE0-18C1-489E-9031-E47E92D5F347}" id="{2F0B9883-9CD5-415B-8103-E74431646E18}">
    <text>intra-problem set</text>
  </threadedComment>
  <threadedComment ref="H153" dT="2024-09-25T14:54:02.71" personId="{69B20BE0-18C1-489E-9031-E47E92D5F347}" id="{7668306C-A344-4572-B0DF-C7C071DA1017}">
    <text>intra-problem set
R_vu and R_vu,C are distinct variables but here are represented with same block
RR_vue table includes R_vu and R_ve</text>
  </threadedComment>
  <threadedComment ref="E159" dT="2024-08-31T14:06:54.83" personId="{69B20BE0-18C1-489E-9031-E47E92D5F347}" id="{F793F9A2-AEED-493E-A6FD-B7A371EC6E72}">
    <text>intra-problem set</text>
  </threadedComment>
  <threadedComment ref="E162" dT="2024-08-31T14:06:54.83" personId="{69B20BE0-18C1-489E-9031-E47E92D5F347}" id="{A8F6DA18-D455-425A-8DC3-7F996790C73D}">
    <text>intra-problem set</text>
  </threadedComment>
  <threadedComment ref="E165" dT="2024-08-31T14:06:54.83" personId="{69B20BE0-18C1-489E-9031-E47E92D5F347}" id="{3AAFD1CD-BAB1-4C00-9C8B-26F5B1B0FACD}">
    <text>intra-problem set</text>
  </threadedComment>
  <threadedComment ref="I168" dT="2025-02-07T09:30:30.05" personId="{4C190604-855F-4C44-9140-208ABDA4E0C9}" id="{EA5B1EF3-A960-42FB-8769-512C5A300FCC}">
    <text>intra-problem set</text>
  </threadedComment>
  <threadedComment ref="I186" dT="2025-02-07T09:30:30.05" personId="{4C190604-855F-4C44-9140-208ABDA4E0C9}" id="{302090F3-E343-44A9-BD3D-1B1616D6B641}">
    <text>intra-problem set</text>
  </threadedComment>
  <threadedComment ref="M190" dT="2025-02-10T11:09:02.25" personId="{4C190604-855F-4C44-9140-208ABDA4E0C9}" id="{A8337E10-02D1-4CEB-99DB-22D4645E732B}">
    <text>intra-problem set</text>
  </threadedComment>
  <threadedComment ref="R190" dT="2025-02-12T08:47:29.62" personId="{4C190604-855F-4C44-9140-208ABDA4E0C9}" id="{CEE1E342-DD73-4177-BF47-390A4ACAACEC}">
    <text>intra-problem set</text>
  </threadedComment>
  <threadedComment ref="I195" dT="2025-02-11T13:22:19.61" personId="{4C190604-855F-4C44-9140-208ABDA4E0C9}" id="{FB9CEE78-F903-4762-98DC-8AA1D6B54151}">
    <text>technologies are intra-problem set and years are on the columns</text>
  </threadedComment>
  <threadedComment ref="E203" dT="2025-02-11T13:23:22.66" personId="{4C190604-855F-4C44-9140-208ABDA4E0C9}" id="{5F3DA95F-6879-43B9-8D0C-556AFBDC7225}">
    <text>intra-problem set</text>
  </threadedComment>
  <threadedComment ref="I207" dT="2025-02-11T13:25:38.21" personId="{4C190604-855F-4C44-9140-208ABDA4E0C9}" id="{A230C014-21AB-4758-85E4-B1B0FE967286}">
    <text>technologies are intra-problem set, years are on the columns</text>
  </threadedComment>
  <threadedComment ref="E209" dT="2025-04-10T15:05:52.00" personId="{4C190604-855F-4C44-9140-208ABDA4E0C9}" id="{CF587145-2452-4223-9EBB-B74F9AC86602}">
    <text>intra-problem set</text>
  </threadedComment>
  <threadedComment ref="I211" dT="2025-02-11T13:25:38.21" personId="{4C190604-855F-4C44-9140-208ABDA4E0C9}" id="{3EA7B509-156C-4231-983A-A0E1598F2E36}">
    <text>technologies are intra-problem set, years are on the columns</text>
  </threadedComment>
  <threadedComment ref="E213" dT="2025-04-10T13:25:57.18" personId="{4C190604-855F-4C44-9140-208ABDA4E0C9}" id="{1C572C9D-7227-49BC-A087-D60D6D9B8F1C}">
    <text>intra-problem set</text>
  </threadedComment>
  <threadedComment ref="E216" dT="2025-02-11T13:26:29.35" personId="{4C190604-855F-4C44-9140-208ABDA4E0C9}" id="{B7E822E5-16CC-4BB6-A30A-AD654649B48C}">
    <text>intra-problem set</text>
  </threadedComment>
  <threadedComment ref="L216" dT="2025-02-11T13:26:24.89" personId="{4C190604-855F-4C44-9140-208ABDA4E0C9}" id="{C39CF843-0D31-483B-B847-3E9547CAF685}">
    <text>intra-problem set</text>
  </threadedComment>
  <threadedComment ref="E221" dT="2025-04-10T15:09:18.65" personId="{4C190604-855F-4C44-9140-208ABDA4E0C9}" id="{53A07179-D806-48F1-AAB4-B0C4CBB9A2A7}">
    <text>intra-set problem</text>
  </threadedComment>
  <threadedComment ref="E224" dT="2025-04-10T15:09:18.65" personId="{4C190604-855F-4C44-9140-208ABDA4E0C9}" id="{F7605FD4-D9B3-46A0-89E1-3F0BBC450E43}">
    <text>intra-set problem</text>
  </threadedComment>
  <threadedComment ref="E228" dT="2025-02-11T13:27:09.81" personId="{4C190604-855F-4C44-9140-208ABDA4E0C9}" id="{6820F6A7-0BAF-4628-9218-1A4DB9091C7E}">
    <text>intra-problem set</text>
  </threadedComment>
  <threadedComment ref="L228" dT="2025-02-11T13:27:05.32" personId="{4C190604-855F-4C44-9140-208ABDA4E0C9}" id="{5C4F4C0D-1196-4978-B419-B69740962A25}">
    <text>intra-problem set</text>
  </threadedComment>
  <threadedComment ref="I238" dT="2025-02-11T13:28:27.19" personId="{4C190604-855F-4C44-9140-208ABDA4E0C9}" id="{E293B3AB-181F-4B8C-9C87-D7E975EC062D}">
    <text>technologies are intra-problem set, years are on the columns</text>
  </threadedComment>
  <threadedComment ref="E248" dT="2025-02-12T11:02:59.71" personId="{4C190604-855F-4C44-9140-208ABDA4E0C9}" id="{1DC166B1-3C8D-48BF-8C7D-954AD0FEFAAA}">
    <text>intra-problem set</text>
  </threadedComment>
  <threadedComment ref="E253" dT="2025-02-12T11:02:59.71" personId="{4C190604-855F-4C44-9140-208ABDA4E0C9}" id="{8AB38444-3CF4-4C43-AFFE-880B60F1B90E}">
    <text>intra-problem set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6" dT="2024-07-25T10:10:53.74" personId="{69B20BE0-18C1-489E-9031-E47E92D5F347}" id="{FE5E3957-19BB-4C28-8029-C431DA39A258}">
    <text>nella tavola economica, l'energia elettrica entra tutta o quasi in distribuzione, così come la trasmissione entra tutta o quasi in distribuzione.
quindi la coerenza tra i modelli imporrebbe che anche l'energia elettrica kWh entrasse tutta in distribuzione.
sarebbe possibile aggiustare la tavola economica per fare in modo che la domanda sia di energia elettrica e non di distribuzione di energia elettrica?</text>
  </threadedComment>
  <threadedComment ref="B16" dT="2024-07-25T10:11:21.24" personId="{69B20BE0-18C1-489E-9031-E47E92D5F347}" id="{7D4A38D6-3624-4796-8ED7-EDA284121442}" parentId="{FE5E3957-19BB-4C28-8029-C431DA39A258}">
    <text>se non si può fare, il modello fisico deve consegnare energia elettrica sempre tramite la tecnologia distribuzione.</text>
  </threadedComment>
  <threadedComment ref="B37" dT="2024-07-23T13:06:45.78" personId="{69B20BE0-18C1-489E-9031-E47E92D5F347}" id="{26331CE0-CE49-4F45-A403-2FE7AC4C1A4D}">
    <text>occorre prevedere il prodotto idrogeno, definito da un market share di h2 green e grey, e i due prodotti h2 green e grey separati (la siderurgia verde ha senso se consuma idrogeno green)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BBBE3-AB0C-6B4F-A8C6-1F3460509786}">
  <sheetPr>
    <tabColor theme="8"/>
  </sheetPr>
  <dimension ref="A1:L108"/>
  <sheetViews>
    <sheetView workbookViewId="0"/>
  </sheetViews>
  <sheetFormatPr defaultColWidth="10.81640625" defaultRowHeight="14.5" x14ac:dyDescent="0.35"/>
  <cols>
    <col min="1" max="1" width="12" customWidth="1"/>
    <col min="2" max="2" width="52.1796875" bestFit="1" customWidth="1"/>
    <col min="3" max="3" width="5.453125" bestFit="1" customWidth="1"/>
    <col min="4" max="4" width="30.453125" customWidth="1"/>
    <col min="5" max="5" width="18.453125" customWidth="1"/>
    <col min="6" max="12" width="19.453125" customWidth="1"/>
  </cols>
  <sheetData>
    <row r="1" spans="1:12" x14ac:dyDescent="0.35">
      <c r="A1" s="121" t="s">
        <v>115</v>
      </c>
    </row>
    <row r="2" spans="1:12" x14ac:dyDescent="0.35">
      <c r="A2" s="126"/>
      <c r="B2" t="s">
        <v>116</v>
      </c>
    </row>
    <row r="3" spans="1:12" x14ac:dyDescent="0.35">
      <c r="A3" s="122"/>
      <c r="B3" t="s">
        <v>117</v>
      </c>
    </row>
    <row r="4" spans="1:12" x14ac:dyDescent="0.35">
      <c r="A4" s="128"/>
      <c r="B4" t="s">
        <v>118</v>
      </c>
    </row>
    <row r="5" spans="1:12" x14ac:dyDescent="0.35">
      <c r="A5" s="129"/>
      <c r="B5" t="s">
        <v>119</v>
      </c>
    </row>
    <row r="7" spans="1:12" x14ac:dyDescent="0.35">
      <c r="A7" s="127"/>
      <c r="B7" t="s">
        <v>120</v>
      </c>
    </row>
    <row r="9" spans="1:12" s="125" customFormat="1" x14ac:dyDescent="0.35">
      <c r="A9" s="123" t="s">
        <v>27</v>
      </c>
      <c r="B9" s="123" t="s">
        <v>28</v>
      </c>
      <c r="C9" s="124" t="s">
        <v>121</v>
      </c>
      <c r="D9" s="124" t="s">
        <v>30</v>
      </c>
      <c r="E9" s="123" t="str" cm="1">
        <f t="array" ref="E9:L9">TRANSPOSE(_xlfn.UNIQUE(TRANSPOSE(TRIM(_xlfn.TEXTSPLIT(_xlfn.TEXTJOIN(",",TRUE,D10:D108),",")))))</f>
        <v>sectors</v>
      </c>
      <c r="F9" s="123" t="str">
        <v>products</v>
      </c>
      <c r="G9" s="123" t="str">
        <v>technologies</v>
      </c>
      <c r="H9" s="123" t="str">
        <v>hours</v>
      </c>
      <c r="I9" s="123" t="str">
        <v>years</v>
      </c>
      <c r="J9" s="123" t="str">
        <v>products_env</v>
      </c>
      <c r="K9" s="123" t="str">
        <v>capacities</v>
      </c>
      <c r="L9" s="123" t="str">
        <v>costs</v>
      </c>
    </row>
    <row r="10" spans="1:12" x14ac:dyDescent="0.35">
      <c r="A10" t="s">
        <v>32</v>
      </c>
      <c r="B10" t="s">
        <v>33</v>
      </c>
      <c r="D10" t="s">
        <v>35</v>
      </c>
      <c r="E10" s="127"/>
    </row>
    <row r="11" spans="1:12" x14ac:dyDescent="0.35">
      <c r="A11" t="s">
        <v>39</v>
      </c>
      <c r="B11" t="s">
        <v>40</v>
      </c>
      <c r="D11" t="s">
        <v>41</v>
      </c>
      <c r="F11" s="122"/>
      <c r="G11" s="122"/>
    </row>
    <row r="12" spans="1:12" x14ac:dyDescent="0.35">
      <c r="A12" t="s">
        <v>47</v>
      </c>
      <c r="B12" t="s">
        <v>48</v>
      </c>
      <c r="D12" t="s">
        <v>41</v>
      </c>
      <c r="F12" s="130"/>
      <c r="G12" s="130"/>
    </row>
    <row r="13" spans="1:12" x14ac:dyDescent="0.35">
      <c r="A13" t="s">
        <v>52</v>
      </c>
      <c r="B13" t="s">
        <v>53</v>
      </c>
      <c r="D13" t="s">
        <v>35</v>
      </c>
      <c r="E13" s="128" t="s">
        <v>122</v>
      </c>
      <c r="F13" s="128"/>
    </row>
    <row r="14" spans="1:12" x14ac:dyDescent="0.35">
      <c r="A14" t="s">
        <v>54</v>
      </c>
      <c r="B14" t="s">
        <v>55</v>
      </c>
      <c r="D14" t="s">
        <v>56</v>
      </c>
      <c r="H14" s="127"/>
    </row>
    <row r="15" spans="1:12" x14ac:dyDescent="0.35">
      <c r="A15" t="s">
        <v>57</v>
      </c>
      <c r="B15" t="s">
        <v>58</v>
      </c>
      <c r="D15" t="s">
        <v>41</v>
      </c>
      <c r="F15" s="130" t="s">
        <v>123</v>
      </c>
      <c r="G15" s="130"/>
    </row>
    <row r="16" spans="1:12" x14ac:dyDescent="0.35">
      <c r="A16" t="s">
        <v>59</v>
      </c>
      <c r="B16" t="s">
        <v>60</v>
      </c>
      <c r="D16" t="s">
        <v>61</v>
      </c>
      <c r="G16" s="126"/>
      <c r="I16" s="126"/>
    </row>
    <row r="17" spans="1:12" x14ac:dyDescent="0.35">
      <c r="A17" t="s">
        <v>63</v>
      </c>
      <c r="B17" t="s">
        <v>64</v>
      </c>
      <c r="D17" t="s">
        <v>65</v>
      </c>
      <c r="F17" s="122" t="s">
        <v>124</v>
      </c>
      <c r="G17" s="122" t="s">
        <v>124</v>
      </c>
      <c r="I17" s="128" t="s">
        <v>125</v>
      </c>
    </row>
    <row r="18" spans="1:12" x14ac:dyDescent="0.35">
      <c r="A18" t="s">
        <v>71</v>
      </c>
      <c r="B18" t="s">
        <v>72</v>
      </c>
      <c r="D18" t="s">
        <v>73</v>
      </c>
      <c r="F18" s="122" t="s">
        <v>126</v>
      </c>
      <c r="H18" s="122"/>
    </row>
    <row r="19" spans="1:12" x14ac:dyDescent="0.35">
      <c r="A19" t="s">
        <v>92</v>
      </c>
      <c r="B19" t="s">
        <v>93</v>
      </c>
      <c r="D19" t="s">
        <v>94</v>
      </c>
      <c r="F19" s="127"/>
      <c r="G19" s="127"/>
      <c r="J19" s="127"/>
    </row>
    <row r="20" spans="1:12" x14ac:dyDescent="0.35">
      <c r="A20" t="s">
        <v>95</v>
      </c>
      <c r="B20" t="s">
        <v>96</v>
      </c>
      <c r="D20" t="s">
        <v>97</v>
      </c>
      <c r="F20" s="127"/>
      <c r="G20" s="127"/>
      <c r="J20" s="127"/>
    </row>
    <row r="21" spans="1:12" x14ac:dyDescent="0.35">
      <c r="A21" t="s">
        <v>99</v>
      </c>
      <c r="B21" t="s">
        <v>100</v>
      </c>
      <c r="D21" t="s">
        <v>97</v>
      </c>
      <c r="G21" s="122" t="s">
        <v>124</v>
      </c>
      <c r="J21" s="122"/>
    </row>
    <row r="22" spans="1:12" x14ac:dyDescent="0.35">
      <c r="A22" t="s">
        <v>104</v>
      </c>
      <c r="B22" t="s">
        <v>105</v>
      </c>
      <c r="D22" t="s">
        <v>94</v>
      </c>
      <c r="G22" s="128" t="s">
        <v>127</v>
      </c>
      <c r="I22" s="122" t="s">
        <v>128</v>
      </c>
      <c r="K22" s="122"/>
    </row>
    <row r="23" spans="1:12" x14ac:dyDescent="0.35">
      <c r="A23" t="s">
        <v>129</v>
      </c>
      <c r="B23" t="s">
        <v>130</v>
      </c>
      <c r="D23" t="s">
        <v>131</v>
      </c>
    </row>
    <row r="24" spans="1:12" x14ac:dyDescent="0.35">
      <c r="A24" t="s">
        <v>113</v>
      </c>
      <c r="B24" t="s">
        <v>132</v>
      </c>
      <c r="D24" t="s">
        <v>133</v>
      </c>
      <c r="G24" s="128" t="s">
        <v>134</v>
      </c>
      <c r="I24" s="122"/>
      <c r="L24" s="122"/>
    </row>
    <row r="25" spans="1:12" x14ac:dyDescent="0.35">
      <c r="B25" t="str">
        <f>IF(A25="","",VLOOKUP(A25,#REF!,2,FALSE))</f>
        <v/>
      </c>
      <c r="D25" t="str">
        <f>IF(A25="","",VLOOKUP(A25,#REF!,4,FALSE))</f>
        <v/>
      </c>
    </row>
    <row r="26" spans="1:12" x14ac:dyDescent="0.35">
      <c r="B26" t="str">
        <f>IF(A26="","",VLOOKUP(A26,#REF!,2,FALSE))</f>
        <v/>
      </c>
      <c r="D26" t="str">
        <f>IF(A26="","",VLOOKUP(A26,#REF!,4,FALSE))</f>
        <v/>
      </c>
    </row>
    <row r="27" spans="1:12" x14ac:dyDescent="0.35">
      <c r="B27" t="str">
        <f>IF(A27="","",VLOOKUP(A27,#REF!,2,FALSE))</f>
        <v/>
      </c>
      <c r="D27" t="str">
        <f>IF(A27="","",VLOOKUP(A27,#REF!,4,FALSE))</f>
        <v/>
      </c>
    </row>
    <row r="28" spans="1:12" x14ac:dyDescent="0.35">
      <c r="B28" t="str">
        <f>IF(A28="","",VLOOKUP(A28,#REF!,2,FALSE))</f>
        <v/>
      </c>
      <c r="D28" t="str">
        <f>IF(A28="","",VLOOKUP(A28,#REF!,4,FALSE))</f>
        <v/>
      </c>
    </row>
    <row r="29" spans="1:12" x14ac:dyDescent="0.35">
      <c r="B29" t="str">
        <f>IF(A29="","",VLOOKUP(A29,#REF!,2,FALSE))</f>
        <v/>
      </c>
      <c r="D29" t="str">
        <f>IF(A29="","",VLOOKUP(A29,#REF!,4,FALSE))</f>
        <v/>
      </c>
    </row>
    <row r="30" spans="1:12" x14ac:dyDescent="0.35">
      <c r="B30" t="str">
        <f>IF(A30="","",VLOOKUP(A30,#REF!,2,FALSE))</f>
        <v/>
      </c>
      <c r="D30" t="str">
        <f>IF(A30="","",VLOOKUP(A30,#REF!,4,FALSE))</f>
        <v/>
      </c>
    </row>
    <row r="31" spans="1:12" x14ac:dyDescent="0.35">
      <c r="B31" t="str">
        <f>IF(A31="","",VLOOKUP(A31,#REF!,2,FALSE))</f>
        <v/>
      </c>
      <c r="D31" t="str">
        <f>IF(A31="","",VLOOKUP(A31,#REF!,4,FALSE))</f>
        <v/>
      </c>
    </row>
    <row r="32" spans="1:12" x14ac:dyDescent="0.35">
      <c r="B32" t="str">
        <f>IF(A32="","",VLOOKUP(A32,#REF!,2,FALSE))</f>
        <v/>
      </c>
      <c r="D32" t="str">
        <f>IF(A32="","",VLOOKUP(A32,#REF!,4,FALSE))</f>
        <v/>
      </c>
    </row>
    <row r="33" spans="2:4" x14ac:dyDescent="0.35">
      <c r="D33" t="str">
        <f>IF(A33="","",VLOOKUP(A33,#REF!,4,FALSE))</f>
        <v/>
      </c>
    </row>
    <row r="34" spans="2:4" x14ac:dyDescent="0.35">
      <c r="B34" t="str">
        <f>IF(A34="","",VLOOKUP(A34,#REF!,2,FALSE))</f>
        <v/>
      </c>
      <c r="D34" t="str">
        <f>IF(A34="","",VLOOKUP(A34,#REF!,4,FALSE))</f>
        <v/>
      </c>
    </row>
    <row r="35" spans="2:4" x14ac:dyDescent="0.35">
      <c r="B35" t="str">
        <f>IF(A35="","",VLOOKUP(A35,#REF!,2,FALSE))</f>
        <v/>
      </c>
      <c r="D35" t="str">
        <f>IF(A35="","",VLOOKUP(A35,#REF!,4,FALSE))</f>
        <v/>
      </c>
    </row>
    <row r="36" spans="2:4" x14ac:dyDescent="0.35">
      <c r="B36" t="str">
        <f>IF(A36="","",VLOOKUP(A36,#REF!,2,FALSE))</f>
        <v/>
      </c>
      <c r="D36" t="str">
        <f>IF(A36="","",VLOOKUP(A36,#REF!,4,FALSE))</f>
        <v/>
      </c>
    </row>
    <row r="37" spans="2:4" x14ac:dyDescent="0.35">
      <c r="B37" t="str">
        <f>IF(A37="","",VLOOKUP(A37,#REF!,2,FALSE))</f>
        <v/>
      </c>
      <c r="D37" t="str">
        <f>IF(A37="","",VLOOKUP(A37,#REF!,4,FALSE))</f>
        <v/>
      </c>
    </row>
    <row r="38" spans="2:4" x14ac:dyDescent="0.35">
      <c r="B38" t="str">
        <f>IF(A38="","",VLOOKUP(A38,#REF!,2,FALSE))</f>
        <v/>
      </c>
      <c r="D38" t="str">
        <f>IF(A38="","",VLOOKUP(A38,#REF!,4,FALSE))</f>
        <v/>
      </c>
    </row>
    <row r="39" spans="2:4" x14ac:dyDescent="0.35">
      <c r="B39" t="str">
        <f>IF(A39="","",VLOOKUP(A39,#REF!,2,FALSE))</f>
        <v/>
      </c>
      <c r="D39" t="str">
        <f>IF(A39="","",VLOOKUP(A39,#REF!,4,FALSE))</f>
        <v/>
      </c>
    </row>
    <row r="40" spans="2:4" x14ac:dyDescent="0.35">
      <c r="B40" t="str">
        <f>IF(A40="","",VLOOKUP(A40,#REF!,2,FALSE))</f>
        <v/>
      </c>
      <c r="D40" t="str">
        <f>IF(A40="","",VLOOKUP(A40,#REF!,4,FALSE))</f>
        <v/>
      </c>
    </row>
    <row r="41" spans="2:4" x14ac:dyDescent="0.35">
      <c r="B41" t="str">
        <f>IF(A41="","",VLOOKUP(A41,#REF!,2,FALSE))</f>
        <v/>
      </c>
      <c r="D41" t="str">
        <f>IF(A41="","",VLOOKUP(A41,#REF!,4,FALSE))</f>
        <v/>
      </c>
    </row>
    <row r="42" spans="2:4" x14ac:dyDescent="0.35">
      <c r="B42" t="str">
        <f>IF(A42="","",VLOOKUP(A42,#REF!,2,FALSE))</f>
        <v/>
      </c>
      <c r="D42" t="str">
        <f>IF(A42="","",VLOOKUP(A42,#REF!,4,FALSE))</f>
        <v/>
      </c>
    </row>
    <row r="43" spans="2:4" x14ac:dyDescent="0.35">
      <c r="B43" t="str">
        <f>IF(A43="","",VLOOKUP(A43,#REF!,2,FALSE))</f>
        <v/>
      </c>
      <c r="D43" t="str">
        <f>IF(A43="","",VLOOKUP(A43,#REF!,4,FALSE))</f>
        <v/>
      </c>
    </row>
    <row r="44" spans="2:4" x14ac:dyDescent="0.35">
      <c r="B44" t="str">
        <f>IF(A44="","",VLOOKUP(A44,#REF!,2,FALSE))</f>
        <v/>
      </c>
      <c r="D44" t="str">
        <f>IF(A44="","",VLOOKUP(A44,#REF!,4,FALSE))</f>
        <v/>
      </c>
    </row>
    <row r="45" spans="2:4" x14ac:dyDescent="0.35">
      <c r="B45" t="str">
        <f>IF(A45="","",VLOOKUP(A45,#REF!,2,FALSE))</f>
        <v/>
      </c>
      <c r="D45" t="str">
        <f>IF(A45="","",VLOOKUP(A45,#REF!,4,FALSE))</f>
        <v/>
      </c>
    </row>
    <row r="46" spans="2:4" x14ac:dyDescent="0.35">
      <c r="B46" t="str">
        <f>IF(A46="","",VLOOKUP(A46,#REF!,2,FALSE))</f>
        <v/>
      </c>
      <c r="D46" t="str">
        <f>IF(A46="","",VLOOKUP(A46,#REF!,4,FALSE))</f>
        <v/>
      </c>
    </row>
    <row r="47" spans="2:4" x14ac:dyDescent="0.35">
      <c r="B47" t="str">
        <f>IF(A47="","",VLOOKUP(A47,#REF!,2,FALSE))</f>
        <v/>
      </c>
      <c r="D47" t="str">
        <f>IF(A47="","",VLOOKUP(A47,#REF!,4,FALSE))</f>
        <v/>
      </c>
    </row>
    <row r="48" spans="2:4" x14ac:dyDescent="0.35">
      <c r="B48" t="str">
        <f>IF(A48="","",VLOOKUP(A48,#REF!,2,FALSE))</f>
        <v/>
      </c>
      <c r="D48" t="str">
        <f>IF(A48="","",VLOOKUP(A48,#REF!,4,FALSE))</f>
        <v/>
      </c>
    </row>
    <row r="49" spans="2:4" x14ac:dyDescent="0.35">
      <c r="B49" t="str">
        <f>IF(A49="","",VLOOKUP(A49,#REF!,2,FALSE))</f>
        <v/>
      </c>
      <c r="D49" t="str">
        <f>IF(A49="","",VLOOKUP(A49,#REF!,4,FALSE))</f>
        <v/>
      </c>
    </row>
    <row r="50" spans="2:4" x14ac:dyDescent="0.35">
      <c r="B50" t="str">
        <f>IF(A50="","",VLOOKUP(A50,#REF!,2,FALSE))</f>
        <v/>
      </c>
      <c r="D50" t="str">
        <f>IF(A50="","",VLOOKUP(A50,#REF!,4,FALSE))</f>
        <v/>
      </c>
    </row>
    <row r="51" spans="2:4" x14ac:dyDescent="0.35">
      <c r="B51" t="str">
        <f>IF(A51="","",VLOOKUP(A51,#REF!,2,FALSE))</f>
        <v/>
      </c>
      <c r="D51" t="str">
        <f>IF(A51="","",VLOOKUP(A51,#REF!,4,FALSE))</f>
        <v/>
      </c>
    </row>
    <row r="52" spans="2:4" x14ac:dyDescent="0.35">
      <c r="B52" t="str">
        <f>IF(A52="","",VLOOKUP(A52,#REF!,2,FALSE))</f>
        <v/>
      </c>
      <c r="D52" t="str">
        <f>IF(A52="","",VLOOKUP(A52,#REF!,4,FALSE))</f>
        <v/>
      </c>
    </row>
    <row r="53" spans="2:4" x14ac:dyDescent="0.35">
      <c r="B53" t="str">
        <f>IF(A53="","",VLOOKUP(A53,#REF!,2,FALSE))</f>
        <v/>
      </c>
      <c r="D53" t="str">
        <f>IF(A53="","",VLOOKUP(A53,#REF!,4,FALSE))</f>
        <v/>
      </c>
    </row>
    <row r="54" spans="2:4" x14ac:dyDescent="0.35">
      <c r="B54" t="str">
        <f>IF(A54="","",VLOOKUP(A54,#REF!,2,FALSE))</f>
        <v/>
      </c>
      <c r="D54" t="str">
        <f>IF(A54="","",VLOOKUP(A54,#REF!,4,FALSE))</f>
        <v/>
      </c>
    </row>
    <row r="55" spans="2:4" x14ac:dyDescent="0.35">
      <c r="B55" t="str">
        <f>IF(A55="","",VLOOKUP(A55,#REF!,2,FALSE))</f>
        <v/>
      </c>
      <c r="D55" t="str">
        <f>IF(A55="","",VLOOKUP(A55,#REF!,4,FALSE))</f>
        <v/>
      </c>
    </row>
    <row r="56" spans="2:4" x14ac:dyDescent="0.35">
      <c r="B56" t="str">
        <f>IF(A56="","",VLOOKUP(A56,#REF!,2,FALSE))</f>
        <v/>
      </c>
      <c r="D56" t="str">
        <f>IF(A56="","",VLOOKUP(A56,#REF!,4,FALSE))</f>
        <v/>
      </c>
    </row>
    <row r="57" spans="2:4" x14ac:dyDescent="0.35">
      <c r="B57" t="str">
        <f>IF(A57="","",VLOOKUP(A57,#REF!,2,FALSE))</f>
        <v/>
      </c>
      <c r="D57" t="str">
        <f>IF(A57="","",VLOOKUP(A57,#REF!,4,FALSE))</f>
        <v/>
      </c>
    </row>
    <row r="58" spans="2:4" x14ac:dyDescent="0.35">
      <c r="B58" t="str">
        <f>IF(A58="","",VLOOKUP(A58,#REF!,2,FALSE))</f>
        <v/>
      </c>
      <c r="D58" t="str">
        <f>IF(A58="","",VLOOKUP(A58,#REF!,4,FALSE))</f>
        <v/>
      </c>
    </row>
    <row r="59" spans="2:4" x14ac:dyDescent="0.35">
      <c r="B59" t="str">
        <f>IF(A59="","",VLOOKUP(A59,#REF!,2,FALSE))</f>
        <v/>
      </c>
      <c r="D59" t="str">
        <f>IF(A59="","",VLOOKUP(A59,#REF!,4,FALSE))</f>
        <v/>
      </c>
    </row>
    <row r="60" spans="2:4" x14ac:dyDescent="0.35">
      <c r="B60" t="str">
        <f>IF(A60="","",VLOOKUP(A60,#REF!,2,FALSE))</f>
        <v/>
      </c>
      <c r="D60" t="str">
        <f>IF(A60="","",VLOOKUP(A60,#REF!,4,FALSE))</f>
        <v/>
      </c>
    </row>
    <row r="61" spans="2:4" x14ac:dyDescent="0.35">
      <c r="B61" t="str">
        <f>IF(A61="","",VLOOKUP(A61,#REF!,2,FALSE))</f>
        <v/>
      </c>
      <c r="D61" t="str">
        <f>IF(A61="","",VLOOKUP(A61,#REF!,4,FALSE))</f>
        <v/>
      </c>
    </row>
    <row r="62" spans="2:4" x14ac:dyDescent="0.35">
      <c r="B62" t="str">
        <f>IF(A62="","",VLOOKUP(A62,#REF!,2,FALSE))</f>
        <v/>
      </c>
      <c r="D62" t="str">
        <f>IF(A62="","",VLOOKUP(A62,#REF!,4,FALSE))</f>
        <v/>
      </c>
    </row>
    <row r="63" spans="2:4" x14ac:dyDescent="0.35">
      <c r="B63" t="str">
        <f>IF(A63="","",VLOOKUP(A63,#REF!,2,FALSE))</f>
        <v/>
      </c>
      <c r="D63" t="str">
        <f>IF(A63="","",VLOOKUP(A63,#REF!,4,FALSE))</f>
        <v/>
      </c>
    </row>
    <row r="64" spans="2:4" x14ac:dyDescent="0.35">
      <c r="B64" t="str">
        <f>IF(A64="","",VLOOKUP(A64,#REF!,2,FALSE))</f>
        <v/>
      </c>
      <c r="D64" t="str">
        <f>IF(A64="","",VLOOKUP(A64,#REF!,4,FALSE))</f>
        <v/>
      </c>
    </row>
    <row r="65" spans="2:4" x14ac:dyDescent="0.35">
      <c r="B65" t="str">
        <f>IF(A65="","",VLOOKUP(A65,#REF!,2,FALSE))</f>
        <v/>
      </c>
      <c r="D65" t="str">
        <f>IF(A65="","",VLOOKUP(A65,#REF!,4,FALSE))</f>
        <v/>
      </c>
    </row>
    <row r="66" spans="2:4" x14ac:dyDescent="0.35">
      <c r="B66" t="str">
        <f>IF(A66="","",VLOOKUP(A66,#REF!,2,FALSE))</f>
        <v/>
      </c>
      <c r="D66" t="str">
        <f>IF(A66="","",VLOOKUP(A66,#REF!,4,FALSE))</f>
        <v/>
      </c>
    </row>
    <row r="67" spans="2:4" x14ac:dyDescent="0.35">
      <c r="B67" t="str">
        <f>IF(A67="","",VLOOKUP(A67,#REF!,2,FALSE))</f>
        <v/>
      </c>
      <c r="D67" t="str">
        <f>IF(A67="","",VLOOKUP(A67,#REF!,4,FALSE))</f>
        <v/>
      </c>
    </row>
    <row r="68" spans="2:4" x14ac:dyDescent="0.35">
      <c r="B68" t="str">
        <f>IF(A68="","",VLOOKUP(A68,#REF!,2,FALSE))</f>
        <v/>
      </c>
      <c r="D68" t="str">
        <f>IF(A68="","",VLOOKUP(A68,#REF!,4,FALSE))</f>
        <v/>
      </c>
    </row>
    <row r="69" spans="2:4" x14ac:dyDescent="0.35">
      <c r="B69" t="str">
        <f>IF(A69="","",VLOOKUP(A69,#REF!,2,FALSE))</f>
        <v/>
      </c>
      <c r="D69" t="str">
        <f>IF(A69="","",VLOOKUP(A69,#REF!,4,FALSE))</f>
        <v/>
      </c>
    </row>
    <row r="70" spans="2:4" x14ac:dyDescent="0.35">
      <c r="B70" t="str">
        <f>IF(A70="","",VLOOKUP(A70,#REF!,2,FALSE))</f>
        <v/>
      </c>
      <c r="D70" t="str">
        <f>IF(A70="","",VLOOKUP(A70,#REF!,4,FALSE))</f>
        <v/>
      </c>
    </row>
    <row r="71" spans="2:4" x14ac:dyDescent="0.35">
      <c r="B71" t="str">
        <f>IF(A71="","",VLOOKUP(A71,#REF!,2,FALSE))</f>
        <v/>
      </c>
      <c r="D71" t="str">
        <f>IF(A71="","",VLOOKUP(A71,#REF!,4,FALSE))</f>
        <v/>
      </c>
    </row>
    <row r="72" spans="2:4" x14ac:dyDescent="0.35">
      <c r="B72" t="str">
        <f>IF(A72="","",VLOOKUP(A72,#REF!,2,FALSE))</f>
        <v/>
      </c>
      <c r="D72" t="str">
        <f>IF(A72="","",VLOOKUP(A72,#REF!,4,FALSE))</f>
        <v/>
      </c>
    </row>
    <row r="73" spans="2:4" x14ac:dyDescent="0.35">
      <c r="B73" t="str">
        <f>IF(A73="","",VLOOKUP(A73,#REF!,2,FALSE))</f>
        <v/>
      </c>
      <c r="D73" t="str">
        <f>IF(A73="","",VLOOKUP(A73,#REF!,4,FALSE))</f>
        <v/>
      </c>
    </row>
    <row r="74" spans="2:4" x14ac:dyDescent="0.35">
      <c r="B74" t="str">
        <f>IF(A74="","",VLOOKUP(A74,#REF!,2,FALSE))</f>
        <v/>
      </c>
      <c r="D74" t="str">
        <f>IF(A74="","",VLOOKUP(A74,#REF!,4,FALSE))</f>
        <v/>
      </c>
    </row>
    <row r="75" spans="2:4" x14ac:dyDescent="0.35">
      <c r="B75" t="str">
        <f>IF(A75="","",VLOOKUP(A75,#REF!,2,FALSE))</f>
        <v/>
      </c>
      <c r="D75" t="str">
        <f>IF(A75="","",VLOOKUP(A75,#REF!,4,FALSE))</f>
        <v/>
      </c>
    </row>
    <row r="76" spans="2:4" x14ac:dyDescent="0.35">
      <c r="B76" t="str">
        <f>IF(A76="","",VLOOKUP(A76,#REF!,2,FALSE))</f>
        <v/>
      </c>
      <c r="D76" t="str">
        <f>IF(A76="","",VLOOKUP(A76,#REF!,4,FALSE))</f>
        <v/>
      </c>
    </row>
    <row r="77" spans="2:4" x14ac:dyDescent="0.35">
      <c r="B77" t="str">
        <f>IF(A77="","",VLOOKUP(A77,#REF!,2,FALSE))</f>
        <v/>
      </c>
      <c r="D77" t="str">
        <f>IF(A77="","",VLOOKUP(A77,#REF!,4,FALSE))</f>
        <v/>
      </c>
    </row>
    <row r="78" spans="2:4" x14ac:dyDescent="0.35">
      <c r="B78" t="str">
        <f>IF(A78="","",VLOOKUP(A78,#REF!,2,FALSE))</f>
        <v/>
      </c>
      <c r="D78" t="str">
        <f>IF(A78="","",VLOOKUP(A78,#REF!,4,FALSE))</f>
        <v/>
      </c>
    </row>
    <row r="79" spans="2:4" x14ac:dyDescent="0.35">
      <c r="B79" t="str">
        <f>IF(A79="","",VLOOKUP(A79,#REF!,2,FALSE))</f>
        <v/>
      </c>
      <c r="D79" t="str">
        <f>IF(A79="","",VLOOKUP(A79,#REF!,4,FALSE))</f>
        <v/>
      </c>
    </row>
    <row r="80" spans="2:4" x14ac:dyDescent="0.35">
      <c r="B80" t="str">
        <f>IF(A80="","",VLOOKUP(A80,#REF!,2,FALSE))</f>
        <v/>
      </c>
      <c r="D80" t="str">
        <f>IF(A80="","",VLOOKUP(A80,#REF!,4,FALSE))</f>
        <v/>
      </c>
    </row>
    <row r="81" spans="2:4" x14ac:dyDescent="0.35">
      <c r="B81" t="str">
        <f>IF(A81="","",VLOOKUP(A81,#REF!,2,FALSE))</f>
        <v/>
      </c>
      <c r="D81" t="str">
        <f>IF(A81="","",VLOOKUP(A81,#REF!,4,FALSE))</f>
        <v/>
      </c>
    </row>
    <row r="82" spans="2:4" x14ac:dyDescent="0.35">
      <c r="B82" t="str">
        <f>IF(A82="","",VLOOKUP(A82,#REF!,2,FALSE))</f>
        <v/>
      </c>
      <c r="D82" t="str">
        <f>IF(A82="","",VLOOKUP(A82,#REF!,4,FALSE))</f>
        <v/>
      </c>
    </row>
    <row r="83" spans="2:4" x14ac:dyDescent="0.35">
      <c r="B83" t="str">
        <f>IF(A83="","",VLOOKUP(A83,#REF!,2,FALSE))</f>
        <v/>
      </c>
      <c r="D83" t="str">
        <f>IF(A83="","",VLOOKUP(A83,#REF!,4,FALSE))</f>
        <v/>
      </c>
    </row>
    <row r="84" spans="2:4" x14ac:dyDescent="0.35">
      <c r="B84" t="str">
        <f>IF(A84="","",VLOOKUP(A84,#REF!,2,FALSE))</f>
        <v/>
      </c>
      <c r="D84" t="str">
        <f>IF(A84="","",VLOOKUP(A84,#REF!,4,FALSE))</f>
        <v/>
      </c>
    </row>
    <row r="85" spans="2:4" x14ac:dyDescent="0.35">
      <c r="B85" t="str">
        <f>IF(A85="","",VLOOKUP(A85,#REF!,2,FALSE))</f>
        <v/>
      </c>
      <c r="D85" t="str">
        <f>IF(A85="","",VLOOKUP(A85,#REF!,4,FALSE))</f>
        <v/>
      </c>
    </row>
    <row r="86" spans="2:4" x14ac:dyDescent="0.35">
      <c r="B86" t="str">
        <f>IF(A86="","",VLOOKUP(A86,#REF!,2,FALSE))</f>
        <v/>
      </c>
      <c r="D86" t="str">
        <f>IF(A86="","",VLOOKUP(A86,#REF!,4,FALSE))</f>
        <v/>
      </c>
    </row>
    <row r="87" spans="2:4" x14ac:dyDescent="0.35">
      <c r="B87" t="str">
        <f>IF(A87="","",VLOOKUP(A87,#REF!,2,FALSE))</f>
        <v/>
      </c>
      <c r="D87" t="str">
        <f>IF(A87="","",VLOOKUP(A87,#REF!,4,FALSE))</f>
        <v/>
      </c>
    </row>
    <row r="88" spans="2:4" x14ac:dyDescent="0.35">
      <c r="B88" t="str">
        <f>IF(A88="","",VLOOKUP(A88,#REF!,2,FALSE))</f>
        <v/>
      </c>
      <c r="D88" t="str">
        <f>IF(A88="","",VLOOKUP(A88,#REF!,4,FALSE))</f>
        <v/>
      </c>
    </row>
    <row r="89" spans="2:4" x14ac:dyDescent="0.35">
      <c r="B89" t="str">
        <f>IF(A89="","",VLOOKUP(A89,#REF!,2,FALSE))</f>
        <v/>
      </c>
      <c r="D89" t="str">
        <f>IF(A89="","",VLOOKUP(A89,#REF!,4,FALSE))</f>
        <v/>
      </c>
    </row>
    <row r="90" spans="2:4" x14ac:dyDescent="0.35">
      <c r="B90" t="str">
        <f>IF(A90="","",VLOOKUP(A90,#REF!,2,FALSE))</f>
        <v/>
      </c>
      <c r="D90" t="str">
        <f>IF(A90="","",VLOOKUP(A90,#REF!,4,FALSE))</f>
        <v/>
      </c>
    </row>
    <row r="91" spans="2:4" x14ac:dyDescent="0.35">
      <c r="B91" t="str">
        <f>IF(A91="","",VLOOKUP(A91,#REF!,2,FALSE))</f>
        <v/>
      </c>
      <c r="D91" t="str">
        <f>IF(A91="","",VLOOKUP(A91,#REF!,4,FALSE))</f>
        <v/>
      </c>
    </row>
    <row r="92" spans="2:4" x14ac:dyDescent="0.35">
      <c r="B92" t="str">
        <f>IF(A92="","",VLOOKUP(A92,#REF!,2,FALSE))</f>
        <v/>
      </c>
      <c r="D92" t="str">
        <f>IF(A92="","",VLOOKUP(A92,#REF!,4,FALSE))</f>
        <v/>
      </c>
    </row>
    <row r="93" spans="2:4" x14ac:dyDescent="0.35">
      <c r="B93" t="str">
        <f>IF(A93="","",VLOOKUP(A93,#REF!,2,FALSE))</f>
        <v/>
      </c>
      <c r="D93" t="str">
        <f>IF(A93="","",VLOOKUP(A93,#REF!,4,FALSE))</f>
        <v/>
      </c>
    </row>
    <row r="94" spans="2:4" x14ac:dyDescent="0.35">
      <c r="B94" t="str">
        <f>IF(A94="","",VLOOKUP(A94,#REF!,2,FALSE))</f>
        <v/>
      </c>
      <c r="D94" t="str">
        <f>IF(A94="","",VLOOKUP(A94,#REF!,4,FALSE))</f>
        <v/>
      </c>
    </row>
    <row r="95" spans="2:4" x14ac:dyDescent="0.35">
      <c r="B95" t="str">
        <f>IF(A95="","",VLOOKUP(A95,#REF!,2,FALSE))</f>
        <v/>
      </c>
      <c r="D95" t="str">
        <f>IF(A95="","",VLOOKUP(A95,#REF!,4,FALSE))</f>
        <v/>
      </c>
    </row>
    <row r="96" spans="2:4" x14ac:dyDescent="0.35">
      <c r="B96" t="str">
        <f>IF(A96="","",VLOOKUP(A96,#REF!,2,FALSE))</f>
        <v/>
      </c>
      <c r="D96" t="str">
        <f>IF(A96="","",VLOOKUP(A96,#REF!,4,FALSE))</f>
        <v/>
      </c>
    </row>
    <row r="97" spans="2:4" x14ac:dyDescent="0.35">
      <c r="B97" t="str">
        <f>IF(A97="","",VLOOKUP(A97,#REF!,2,FALSE))</f>
        <v/>
      </c>
      <c r="D97" t="str">
        <f>IF(A97="","",VLOOKUP(A97,#REF!,4,FALSE))</f>
        <v/>
      </c>
    </row>
    <row r="98" spans="2:4" x14ac:dyDescent="0.35">
      <c r="B98" t="str">
        <f>IF(A98="","",VLOOKUP(A98,#REF!,2,FALSE))</f>
        <v/>
      </c>
      <c r="D98" t="str">
        <f>IF(A98="","",VLOOKUP(A98,#REF!,4,FALSE))</f>
        <v/>
      </c>
    </row>
    <row r="99" spans="2:4" x14ac:dyDescent="0.35">
      <c r="B99" t="str">
        <f>IF(A99="","",VLOOKUP(A99,#REF!,2,FALSE))</f>
        <v/>
      </c>
      <c r="D99" t="str">
        <f>IF(A99="","",VLOOKUP(A99,#REF!,4,FALSE))</f>
        <v/>
      </c>
    </row>
    <row r="100" spans="2:4" x14ac:dyDescent="0.35">
      <c r="B100" t="str">
        <f>IF(A100="","",VLOOKUP(A100,#REF!,2,FALSE))</f>
        <v/>
      </c>
      <c r="D100" t="str">
        <f>IF(A100="","",VLOOKUP(A100,#REF!,4,FALSE))</f>
        <v/>
      </c>
    </row>
    <row r="101" spans="2:4" x14ac:dyDescent="0.35">
      <c r="B101" t="str">
        <f>IF(A101="","",VLOOKUP(A101,#REF!,2,FALSE))</f>
        <v/>
      </c>
      <c r="D101" t="str">
        <f>IF(A101="","",VLOOKUP(A101,#REF!,4,FALSE))</f>
        <v/>
      </c>
    </row>
    <row r="102" spans="2:4" x14ac:dyDescent="0.35">
      <c r="B102" t="str">
        <f>IF(A102="","",VLOOKUP(A102,#REF!,2,FALSE))</f>
        <v/>
      </c>
      <c r="D102" t="str">
        <f>IF(A102="","",VLOOKUP(A102,#REF!,4,FALSE))</f>
        <v/>
      </c>
    </row>
    <row r="103" spans="2:4" x14ac:dyDescent="0.35">
      <c r="B103" t="str">
        <f>IF(A103="","",VLOOKUP(A103,#REF!,2,FALSE))</f>
        <v/>
      </c>
      <c r="D103" t="str">
        <f>IF(A103="","",VLOOKUP(A103,#REF!,4,FALSE))</f>
        <v/>
      </c>
    </row>
    <row r="104" spans="2:4" x14ac:dyDescent="0.35">
      <c r="B104" t="str">
        <f>IF(A104="","",VLOOKUP(A104,#REF!,2,FALSE))</f>
        <v/>
      </c>
      <c r="D104" t="str">
        <f>IF(A104="","",VLOOKUP(A104,#REF!,4,FALSE))</f>
        <v/>
      </c>
    </row>
    <row r="105" spans="2:4" x14ac:dyDescent="0.35">
      <c r="B105" t="str">
        <f>IF(A105="","",VLOOKUP(A105,#REF!,2,FALSE))</f>
        <v/>
      </c>
      <c r="D105" t="str">
        <f>IF(A105="","",VLOOKUP(A105,#REF!,4,FALSE))</f>
        <v/>
      </c>
    </row>
    <row r="106" spans="2:4" x14ac:dyDescent="0.35">
      <c r="B106" t="str">
        <f>IF(A106="","",VLOOKUP(A106,#REF!,2,FALSE))</f>
        <v/>
      </c>
      <c r="D106" t="str">
        <f>IF(A106="","",VLOOKUP(A106,#REF!,4,FALSE))</f>
        <v/>
      </c>
    </row>
    <row r="107" spans="2:4" x14ac:dyDescent="0.35">
      <c r="B107" t="str">
        <f>IF(A107="","",VLOOKUP(A107,#REF!,2,FALSE))</f>
        <v/>
      </c>
      <c r="D107" t="str">
        <f>IF(A107="","",VLOOKUP(A107,#REF!,4,FALSE))</f>
        <v/>
      </c>
    </row>
    <row r="108" spans="2:4" x14ac:dyDescent="0.35">
      <c r="B108" t="str">
        <f>IF(A108="","",VLOOKUP(A108,#REF!,2,FALSE))</f>
        <v/>
      </c>
      <c r="D108" t="str">
        <f>IF(A108="","",VLOOKUP(A108,#REF!,4,FALSE))</f>
        <v/>
      </c>
    </row>
  </sheetData>
  <conditionalFormatting sqref="E10:L20 E21 G21:L21">
    <cfRule type="expression" dxfId="1" priority="3">
      <formula>SEARCH(E$9,$D10)&gt;0</formula>
    </cfRule>
  </conditionalFormatting>
  <conditionalFormatting sqref="E22:L24">
    <cfRule type="expression" dxfId="0" priority="1">
      <formula>SEARCH(E$9,$D22)&gt;0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FEE9D-510A-4BD4-8247-C8D30115A3F0}">
  <sheetPr>
    <tabColor theme="8"/>
  </sheetPr>
  <dimension ref="A1:BU334"/>
  <sheetViews>
    <sheetView workbookViewId="0"/>
  </sheetViews>
  <sheetFormatPr defaultColWidth="8.453125" defaultRowHeight="13" x14ac:dyDescent="0.3"/>
  <cols>
    <col min="1" max="10" width="4.81640625" style="1" customWidth="1"/>
    <col min="11" max="11" width="8.453125" style="1" bestFit="1" customWidth="1"/>
    <col min="12" max="13" width="8.453125" style="1" customWidth="1"/>
    <col min="14" max="14" width="7.81640625" style="1" bestFit="1" customWidth="1"/>
    <col min="15" max="17" width="4.81640625" style="1" customWidth="1"/>
    <col min="18" max="18" width="8.453125" style="1" customWidth="1"/>
    <col min="19" max="19" width="4.81640625" style="1" customWidth="1"/>
    <col min="20" max="20" width="10.81640625" style="1" bestFit="1" customWidth="1"/>
    <col min="21" max="21" width="8.81640625" style="1" customWidth="1"/>
    <col min="22" max="22" width="6.453125" style="1" customWidth="1"/>
    <col min="23" max="23" width="18.453125" style="1" customWidth="1"/>
    <col min="24" max="65" width="5.81640625" style="1" customWidth="1"/>
    <col min="66" max="66" width="5.81640625" style="1" bestFit="1" customWidth="1"/>
    <col min="67" max="67" width="8.453125" style="1" bestFit="1" customWidth="1"/>
    <col min="68" max="104" width="5.81640625" style="1" customWidth="1"/>
    <col min="105" max="16384" width="8.453125" style="1"/>
  </cols>
  <sheetData>
    <row r="1" spans="1:63" x14ac:dyDescent="0.3">
      <c r="A1" s="48" t="s">
        <v>135</v>
      </c>
      <c r="B1" s="48"/>
      <c r="C1" s="48"/>
      <c r="D1" s="48"/>
      <c r="E1" s="48"/>
      <c r="F1" s="48"/>
      <c r="AZ1" s="1">
        <v>1</v>
      </c>
      <c r="BC1" s="1" t="s">
        <v>136</v>
      </c>
      <c r="BJ1" s="2" t="s">
        <v>0</v>
      </c>
    </row>
    <row r="2" spans="1:63" x14ac:dyDescent="0.3">
      <c r="A2" s="48"/>
      <c r="B2" s="48"/>
      <c r="C2" s="48"/>
      <c r="D2" s="48"/>
      <c r="E2" s="48" t="s">
        <v>62</v>
      </c>
      <c r="F2" s="48"/>
    </row>
    <row r="3" spans="1:63" x14ac:dyDescent="0.3">
      <c r="A3" s="48"/>
      <c r="B3" s="48"/>
      <c r="C3" s="48"/>
      <c r="D3" s="48"/>
      <c r="E3" s="48"/>
      <c r="F3" s="48" t="s">
        <v>56</v>
      </c>
      <c r="BJ3" s="79"/>
      <c r="BK3" s="1" t="s">
        <v>137</v>
      </c>
    </row>
    <row r="4" spans="1:63" x14ac:dyDescent="0.3">
      <c r="A4" s="2"/>
      <c r="B4" s="2"/>
      <c r="C4" s="2"/>
      <c r="D4" s="2"/>
      <c r="E4" s="2"/>
      <c r="F4" s="2"/>
      <c r="G4" s="2" t="s">
        <v>138</v>
      </c>
      <c r="H4" s="2"/>
      <c r="X4" s="1" t="s">
        <v>139</v>
      </c>
      <c r="Y4" s="1" t="s">
        <v>140</v>
      </c>
      <c r="Z4" s="1" t="s">
        <v>141</v>
      </c>
      <c r="AA4" s="1" t="s">
        <v>142</v>
      </c>
      <c r="AB4" s="1" t="s">
        <v>143</v>
      </c>
      <c r="AC4" s="1" t="s">
        <v>144</v>
      </c>
      <c r="AD4" s="1" t="s">
        <v>145</v>
      </c>
      <c r="BJ4" s="3"/>
      <c r="BK4" s="1" t="s">
        <v>146</v>
      </c>
    </row>
    <row r="5" spans="1:63" x14ac:dyDescent="0.3">
      <c r="A5" s="2"/>
      <c r="B5" s="2"/>
      <c r="C5" s="2"/>
      <c r="D5" s="2"/>
      <c r="E5" s="2"/>
      <c r="F5" s="2"/>
      <c r="G5" s="2"/>
      <c r="H5" s="2" t="s">
        <v>147</v>
      </c>
      <c r="BJ5" s="4"/>
      <c r="BK5" s="1" t="s">
        <v>148</v>
      </c>
    </row>
    <row r="6" spans="1:63" x14ac:dyDescent="0.3">
      <c r="I6" s="2" t="s">
        <v>149</v>
      </c>
      <c r="AF6" s="1" t="s">
        <v>150</v>
      </c>
      <c r="AG6" s="1" t="s">
        <v>151</v>
      </c>
      <c r="AH6" s="1" t="s">
        <v>152</v>
      </c>
      <c r="AI6" s="1" t="s">
        <v>153</v>
      </c>
      <c r="AJ6" s="1" t="s">
        <v>154</v>
      </c>
      <c r="AK6" s="1" t="s">
        <v>155</v>
      </c>
      <c r="AL6" s="1" t="s">
        <v>156</v>
      </c>
      <c r="AM6" s="1" t="s">
        <v>157</v>
      </c>
      <c r="AN6" s="1" t="s">
        <v>158</v>
      </c>
      <c r="AO6" s="1" t="s">
        <v>159</v>
      </c>
      <c r="AP6" s="1" t="s">
        <v>160</v>
      </c>
      <c r="AQ6" s="1" t="s">
        <v>161</v>
      </c>
      <c r="AR6" s="1" t="s">
        <v>162</v>
      </c>
      <c r="AS6" s="1" t="s">
        <v>163</v>
      </c>
      <c r="AT6" s="1" t="s">
        <v>164</v>
      </c>
      <c r="BJ6" s="56"/>
      <c r="BK6" s="1" t="s">
        <v>165</v>
      </c>
    </row>
    <row r="7" spans="1:63" x14ac:dyDescent="0.3">
      <c r="J7" s="2" t="s">
        <v>166</v>
      </c>
      <c r="K7" s="2"/>
      <c r="L7" s="2"/>
      <c r="M7" s="2"/>
      <c r="N7" s="2"/>
      <c r="O7" s="2"/>
      <c r="AF7" s="1" t="s">
        <v>167</v>
      </c>
      <c r="AG7" s="1" t="s">
        <v>168</v>
      </c>
      <c r="AH7" s="1" t="s">
        <v>169</v>
      </c>
      <c r="AI7" s="1" t="s">
        <v>169</v>
      </c>
      <c r="AJ7" s="1" t="s">
        <v>170</v>
      </c>
      <c r="AK7" s="1" t="s">
        <v>170</v>
      </c>
      <c r="AL7" s="1" t="s">
        <v>171</v>
      </c>
      <c r="AM7" s="1" t="s">
        <v>172</v>
      </c>
      <c r="AN7" s="1" t="s">
        <v>172</v>
      </c>
      <c r="AO7" s="1" t="s">
        <v>173</v>
      </c>
      <c r="AP7" s="1" t="s">
        <v>174</v>
      </c>
      <c r="AQ7" s="1" t="s">
        <v>174</v>
      </c>
      <c r="AR7" s="1" t="s">
        <v>175</v>
      </c>
      <c r="AS7" s="1" t="s">
        <v>176</v>
      </c>
      <c r="AT7" s="1" t="s">
        <v>176</v>
      </c>
      <c r="BJ7" s="57"/>
      <c r="BK7" s="1" t="s">
        <v>177</v>
      </c>
    </row>
    <row r="8" spans="1:63" x14ac:dyDescent="0.3">
      <c r="J8" s="2"/>
      <c r="K8" s="2" t="s">
        <v>178</v>
      </c>
      <c r="L8" s="2"/>
      <c r="M8" s="2"/>
      <c r="N8" s="2"/>
      <c r="O8" s="2"/>
      <c r="BJ8" s="102"/>
      <c r="BK8" s="1" t="s">
        <v>179</v>
      </c>
    </row>
    <row r="9" spans="1:63" x14ac:dyDescent="0.3">
      <c r="J9" s="2"/>
      <c r="K9" s="2"/>
      <c r="L9" s="2" t="s">
        <v>114</v>
      </c>
      <c r="M9" s="2"/>
      <c r="N9" s="2"/>
      <c r="O9" s="2"/>
      <c r="BJ9" s="145"/>
      <c r="BK9" s="1" t="s">
        <v>180</v>
      </c>
    </row>
    <row r="10" spans="1:63" x14ac:dyDescent="0.3">
      <c r="J10" s="2"/>
      <c r="K10" s="2"/>
      <c r="L10" s="2"/>
      <c r="M10" s="2" t="s">
        <v>181</v>
      </c>
      <c r="N10" s="2"/>
      <c r="O10" s="2"/>
    </row>
    <row r="11" spans="1:63" x14ac:dyDescent="0.3">
      <c r="J11" s="2"/>
      <c r="K11" s="2"/>
      <c r="L11" s="2"/>
      <c r="M11" s="2"/>
      <c r="N11" s="2" t="s">
        <v>182</v>
      </c>
      <c r="O11" s="2"/>
    </row>
    <row r="12" spans="1:63" x14ac:dyDescent="0.3">
      <c r="J12" s="2"/>
      <c r="K12" s="2"/>
      <c r="L12" s="2"/>
      <c r="M12" s="2"/>
      <c r="N12" s="2"/>
      <c r="O12" s="37" t="s">
        <v>183</v>
      </c>
      <c r="AF12" s="1" t="s">
        <v>184</v>
      </c>
      <c r="AG12" s="1" t="s">
        <v>184</v>
      </c>
      <c r="AH12" s="1" t="s">
        <v>184</v>
      </c>
      <c r="AI12" s="1" t="s">
        <v>184</v>
      </c>
      <c r="AJ12" s="1" t="s">
        <v>184</v>
      </c>
      <c r="AK12" s="1" t="s">
        <v>184</v>
      </c>
      <c r="AL12" s="1" t="s">
        <v>184</v>
      </c>
      <c r="AM12" s="1" t="s">
        <v>184</v>
      </c>
      <c r="AN12" s="1" t="s">
        <v>184</v>
      </c>
      <c r="AO12" s="1" t="s">
        <v>184</v>
      </c>
      <c r="AP12" s="1" t="s">
        <v>184</v>
      </c>
      <c r="AQ12" s="1" t="s">
        <v>184</v>
      </c>
      <c r="AR12" s="1" t="s">
        <v>184</v>
      </c>
      <c r="AS12" s="1" t="s">
        <v>184</v>
      </c>
      <c r="AT12" s="1" t="s">
        <v>184</v>
      </c>
      <c r="AV12" s="1" t="s">
        <v>184</v>
      </c>
      <c r="AW12" s="1" t="s">
        <v>185</v>
      </c>
      <c r="AX12" s="1" t="s">
        <v>185</v>
      </c>
    </row>
    <row r="13" spans="1:63" ht="14.5" customHeight="1" x14ac:dyDescent="0.3">
      <c r="P13" s="37" t="s">
        <v>186</v>
      </c>
      <c r="AF13" s="1" t="s">
        <v>184</v>
      </c>
      <c r="AG13" s="1" t="s">
        <v>184</v>
      </c>
      <c r="AH13" s="1" t="s">
        <v>184</v>
      </c>
      <c r="AI13" s="1" t="s">
        <v>184</v>
      </c>
      <c r="AJ13" s="1" t="s">
        <v>184</v>
      </c>
      <c r="AK13" s="1" t="s">
        <v>184</v>
      </c>
      <c r="AL13" s="1" t="s">
        <v>184</v>
      </c>
      <c r="AM13" s="1" t="s">
        <v>184</v>
      </c>
      <c r="AN13" s="1" t="s">
        <v>184</v>
      </c>
      <c r="AO13" s="1" t="s">
        <v>184</v>
      </c>
      <c r="AP13" s="1" t="s">
        <v>184</v>
      </c>
      <c r="AQ13" s="1" t="s">
        <v>184</v>
      </c>
      <c r="AR13" s="1" t="s">
        <v>184</v>
      </c>
      <c r="AS13" s="1" t="s">
        <v>184</v>
      </c>
      <c r="AT13" s="1" t="s">
        <v>184</v>
      </c>
      <c r="AV13" s="1" t="s">
        <v>185</v>
      </c>
      <c r="AW13" s="1" t="s">
        <v>185</v>
      </c>
      <c r="AX13" s="1" t="s">
        <v>185</v>
      </c>
    </row>
    <row r="14" spans="1:63" ht="15" customHeight="1" x14ac:dyDescent="0.3">
      <c r="Q14" s="37" t="s">
        <v>187</v>
      </c>
      <c r="AF14" s="1" t="s">
        <v>188</v>
      </c>
      <c r="AG14" s="1" t="s">
        <v>188</v>
      </c>
      <c r="AH14" s="1" t="s">
        <v>188</v>
      </c>
      <c r="AI14" s="1" t="s">
        <v>188</v>
      </c>
      <c r="AJ14" s="1" t="s">
        <v>188</v>
      </c>
      <c r="AK14" s="1" t="s">
        <v>188</v>
      </c>
      <c r="AL14" s="1" t="s">
        <v>188</v>
      </c>
      <c r="AM14" s="1" t="s">
        <v>188</v>
      </c>
      <c r="AN14" s="1" t="s">
        <v>188</v>
      </c>
      <c r="AO14" s="1" t="s">
        <v>188</v>
      </c>
      <c r="AP14" s="1" t="s">
        <v>188</v>
      </c>
      <c r="AQ14" s="1" t="s">
        <v>188</v>
      </c>
      <c r="AR14" s="1" t="s">
        <v>188</v>
      </c>
      <c r="AS14" s="1" t="s">
        <v>188</v>
      </c>
      <c r="AT14" s="1" t="s">
        <v>188</v>
      </c>
      <c r="AV14" s="1" t="s">
        <v>188</v>
      </c>
      <c r="AW14" s="1" t="s">
        <v>188</v>
      </c>
      <c r="AX14" s="1" t="s">
        <v>189</v>
      </c>
    </row>
    <row r="15" spans="1:63" x14ac:dyDescent="0.3">
      <c r="R15" s="37" t="s">
        <v>29</v>
      </c>
      <c r="AA15" s="1" t="s">
        <v>190</v>
      </c>
      <c r="AB15" s="1" t="s">
        <v>190</v>
      </c>
      <c r="AC15" s="1" t="s">
        <v>191</v>
      </c>
      <c r="AF15" s="1" t="s">
        <v>192</v>
      </c>
      <c r="AG15" s="1" t="s">
        <v>193</v>
      </c>
      <c r="AH15" s="1" t="s">
        <v>194</v>
      </c>
      <c r="AI15" s="1" t="s">
        <v>194</v>
      </c>
      <c r="AJ15" s="1" t="s">
        <v>192</v>
      </c>
      <c r="AK15" s="1" t="s">
        <v>192</v>
      </c>
      <c r="AL15" s="1" t="s">
        <v>192</v>
      </c>
      <c r="AM15" s="1" t="s">
        <v>192</v>
      </c>
      <c r="AN15" s="1" t="s">
        <v>192</v>
      </c>
      <c r="AO15" s="1" t="s">
        <v>193</v>
      </c>
      <c r="AP15" s="1" t="s">
        <v>194</v>
      </c>
      <c r="AQ15" s="1" t="s">
        <v>194</v>
      </c>
      <c r="AR15" s="1" t="s">
        <v>195</v>
      </c>
      <c r="AS15" s="1" t="s">
        <v>196</v>
      </c>
      <c r="AT15" s="1" t="s">
        <v>197</v>
      </c>
    </row>
    <row r="16" spans="1:63" x14ac:dyDescent="0.3">
      <c r="S16" s="37" t="s">
        <v>198</v>
      </c>
      <c r="T16" s="37"/>
      <c r="U16" s="37"/>
      <c r="V16" s="37"/>
      <c r="X16" s="1" t="s">
        <v>1</v>
      </c>
      <c r="Y16" s="1" t="s">
        <v>1</v>
      </c>
      <c r="Z16" s="1" t="s">
        <v>1</v>
      </c>
      <c r="AA16" s="1" t="s">
        <v>2</v>
      </c>
      <c r="AB16" s="1" t="s">
        <v>2</v>
      </c>
      <c r="AC16" s="1" t="s">
        <v>2</v>
      </c>
      <c r="AD16" s="1" t="s">
        <v>2</v>
      </c>
      <c r="AF16" s="1" t="s">
        <v>1</v>
      </c>
      <c r="AG16" s="1" t="s">
        <v>1</v>
      </c>
      <c r="AH16" s="1" t="s">
        <v>1</v>
      </c>
      <c r="AI16" s="1" t="s">
        <v>1</v>
      </c>
      <c r="AJ16" s="1" t="s">
        <v>1</v>
      </c>
      <c r="AK16" s="1" t="s">
        <v>1</v>
      </c>
      <c r="AL16" s="1" t="s">
        <v>2</v>
      </c>
      <c r="AM16" s="1" t="s">
        <v>2</v>
      </c>
      <c r="AN16" s="1" t="s">
        <v>2</v>
      </c>
      <c r="AO16" s="1" t="s">
        <v>2</v>
      </c>
      <c r="AP16" s="1" t="s">
        <v>2</v>
      </c>
      <c r="AQ16" s="1" t="s">
        <v>2</v>
      </c>
      <c r="AR16" s="1" t="s">
        <v>2</v>
      </c>
      <c r="AS16" s="1" t="s">
        <v>2</v>
      </c>
      <c r="AT16" s="1" t="s">
        <v>2</v>
      </c>
    </row>
    <row r="17" spans="7:62" x14ac:dyDescent="0.3">
      <c r="S17" s="37"/>
      <c r="T17" s="37" t="s">
        <v>199</v>
      </c>
      <c r="U17" s="37"/>
      <c r="V17" s="37"/>
    </row>
    <row r="18" spans="7:62" x14ac:dyDescent="0.3">
      <c r="U18" s="37" t="s">
        <v>3</v>
      </c>
      <c r="V18" s="37"/>
      <c r="AG18" s="38"/>
      <c r="AH18" s="38"/>
      <c r="AI18" s="38"/>
      <c r="AJ18" s="38" t="s">
        <v>200</v>
      </c>
      <c r="AK18" s="38" t="s">
        <v>200</v>
      </c>
      <c r="AL18" s="38" t="s">
        <v>200</v>
      </c>
      <c r="AM18" s="38" t="s">
        <v>200</v>
      </c>
      <c r="AN18" s="38" t="s">
        <v>200</v>
      </c>
      <c r="AO18" s="38"/>
      <c r="AP18" s="38"/>
      <c r="AQ18" s="38"/>
      <c r="AR18" s="38" t="s">
        <v>200</v>
      </c>
      <c r="AS18" s="38" t="s">
        <v>200</v>
      </c>
      <c r="AT18" s="38"/>
      <c r="BJ18" s="2" t="s">
        <v>1666</v>
      </c>
    </row>
    <row r="19" spans="7:62" x14ac:dyDescent="0.3">
      <c r="U19" s="37"/>
      <c r="V19" s="37" t="s">
        <v>201</v>
      </c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BJ19" s="2" t="s">
        <v>1667</v>
      </c>
    </row>
    <row r="20" spans="7:62" ht="53" customHeight="1" x14ac:dyDescent="0.3">
      <c r="W20" s="1" t="s">
        <v>28</v>
      </c>
      <c r="X20" s="39" t="s">
        <v>202</v>
      </c>
      <c r="Y20" s="39" t="s">
        <v>203</v>
      </c>
      <c r="Z20" s="39" t="s">
        <v>204</v>
      </c>
      <c r="AA20" s="39" t="s">
        <v>205</v>
      </c>
      <c r="AB20" s="39" t="s">
        <v>206</v>
      </c>
      <c r="AC20" s="39" t="s">
        <v>5</v>
      </c>
      <c r="AD20" s="39" t="s">
        <v>207</v>
      </c>
      <c r="AE20" s="39"/>
      <c r="AF20" s="39" t="s">
        <v>208</v>
      </c>
      <c r="AG20" s="39" t="s">
        <v>209</v>
      </c>
      <c r="AH20" s="39" t="s">
        <v>210</v>
      </c>
      <c r="AI20" s="39" t="s">
        <v>211</v>
      </c>
      <c r="AJ20" s="39" t="s">
        <v>212</v>
      </c>
      <c r="AK20" s="39" t="s">
        <v>213</v>
      </c>
      <c r="AL20" s="39" t="s">
        <v>214</v>
      </c>
      <c r="AM20" s="39" t="s">
        <v>215</v>
      </c>
      <c r="AN20" s="39" t="s">
        <v>216</v>
      </c>
      <c r="AO20" s="39" t="s">
        <v>217</v>
      </c>
      <c r="AP20" s="39" t="s">
        <v>218</v>
      </c>
      <c r="AQ20" s="39" t="s">
        <v>219</v>
      </c>
      <c r="AR20" s="39" t="s">
        <v>220</v>
      </c>
      <c r="AS20" s="39" t="s">
        <v>221</v>
      </c>
      <c r="AT20" s="39" t="s">
        <v>222</v>
      </c>
      <c r="AU20" s="39"/>
      <c r="AV20" s="39" t="s">
        <v>223</v>
      </c>
      <c r="AW20" s="39" t="s">
        <v>224</v>
      </c>
      <c r="AX20" s="39" t="s">
        <v>225</v>
      </c>
      <c r="AY20" s="39"/>
      <c r="BC20" s="2" t="s">
        <v>226</v>
      </c>
    </row>
    <row r="23" spans="7:62" x14ac:dyDescent="0.3">
      <c r="G23" s="1" t="s">
        <v>139</v>
      </c>
      <c r="S23" s="1" t="s">
        <v>1</v>
      </c>
      <c r="W23" s="1" t="s">
        <v>202</v>
      </c>
      <c r="AF23" s="6"/>
      <c r="AG23" s="7"/>
      <c r="AH23" s="7">
        <v>1</v>
      </c>
      <c r="AI23" s="7"/>
      <c r="AJ23" s="7">
        <v>1</v>
      </c>
      <c r="AK23" s="43"/>
      <c r="AL23" s="7">
        <v>1</v>
      </c>
      <c r="AM23" s="7"/>
      <c r="AN23" s="7"/>
      <c r="AO23" s="7"/>
      <c r="AP23" s="7"/>
      <c r="AQ23" s="7"/>
      <c r="AR23" s="7"/>
      <c r="AS23" s="7"/>
      <c r="AT23" s="10"/>
      <c r="AV23" s="6"/>
      <c r="AW23" s="7"/>
      <c r="AX23" s="10"/>
      <c r="BD23" s="2" t="s">
        <v>227</v>
      </c>
    </row>
    <row r="24" spans="7:62" x14ac:dyDescent="0.3">
      <c r="G24" s="1" t="s">
        <v>140</v>
      </c>
      <c r="S24" s="1" t="s">
        <v>1</v>
      </c>
      <c r="W24" s="1" t="s">
        <v>203</v>
      </c>
      <c r="AF24" s="8"/>
      <c r="AG24" s="3"/>
      <c r="AH24" s="3"/>
      <c r="AI24" s="3"/>
      <c r="AJ24" s="3"/>
      <c r="AK24" s="44"/>
      <c r="AL24" s="3"/>
      <c r="AM24" s="3"/>
      <c r="AN24" s="3"/>
      <c r="AO24" s="3"/>
      <c r="AP24" s="3"/>
      <c r="AQ24" s="3"/>
      <c r="AR24" s="3"/>
      <c r="AS24" s="3"/>
      <c r="AT24" s="11"/>
      <c r="AV24" s="8"/>
      <c r="AW24" s="3"/>
      <c r="AX24" s="11"/>
    </row>
    <row r="25" spans="7:62" x14ac:dyDescent="0.3">
      <c r="G25" s="1" t="s">
        <v>141</v>
      </c>
      <c r="S25" s="1" t="s">
        <v>1</v>
      </c>
      <c r="W25" s="1" t="s">
        <v>204</v>
      </c>
      <c r="AF25" s="8"/>
      <c r="AG25" s="3"/>
      <c r="AH25" s="3"/>
      <c r="AI25" s="3"/>
      <c r="AJ25" s="3"/>
      <c r="AK25" s="44"/>
      <c r="AL25" s="3"/>
      <c r="AM25" s="3"/>
      <c r="AN25" s="3"/>
      <c r="AO25" s="3"/>
      <c r="AP25" s="3"/>
      <c r="AQ25" s="3"/>
      <c r="AR25" s="3"/>
      <c r="AS25" s="3"/>
      <c r="AT25" s="11"/>
      <c r="AV25" s="8"/>
      <c r="AW25" s="3"/>
      <c r="AX25" s="11"/>
      <c r="BD25" s="146" t="s">
        <v>228</v>
      </c>
    </row>
    <row r="26" spans="7:62" x14ac:dyDescent="0.3">
      <c r="G26" s="1" t="s">
        <v>142</v>
      </c>
      <c r="R26" s="1" t="s">
        <v>190</v>
      </c>
      <c r="S26" s="1" t="s">
        <v>2</v>
      </c>
      <c r="W26" s="1" t="s">
        <v>205</v>
      </c>
      <c r="AF26" s="40"/>
      <c r="AG26" s="41"/>
      <c r="AH26" s="41"/>
      <c r="AI26" s="41">
        <v>1</v>
      </c>
      <c r="AJ26" s="41"/>
      <c r="AK26" s="45"/>
      <c r="AL26" s="41"/>
      <c r="AM26" s="41"/>
      <c r="AN26" s="41"/>
      <c r="AO26" s="41"/>
      <c r="AP26" s="6">
        <v>1</v>
      </c>
      <c r="AQ26" s="10"/>
      <c r="AR26" s="41"/>
      <c r="AS26" s="41"/>
      <c r="AT26" s="42"/>
      <c r="AV26" s="40"/>
      <c r="AW26" s="41"/>
      <c r="AX26" s="42"/>
    </row>
    <row r="27" spans="7:62" x14ac:dyDescent="0.3">
      <c r="G27" s="1" t="s">
        <v>143</v>
      </c>
      <c r="R27" s="1" t="s">
        <v>190</v>
      </c>
      <c r="S27" s="1" t="s">
        <v>2</v>
      </c>
      <c r="W27" s="1" t="s">
        <v>206</v>
      </c>
      <c r="AF27" s="8"/>
      <c r="AG27" s="3"/>
      <c r="AH27" s="3"/>
      <c r="AI27" s="3"/>
      <c r="AJ27" s="3"/>
      <c r="AK27" s="44"/>
      <c r="AL27" s="3"/>
      <c r="AM27" s="3"/>
      <c r="AN27" s="3"/>
      <c r="AO27" s="3"/>
      <c r="AP27" s="12"/>
      <c r="AQ27" s="13">
        <v>1</v>
      </c>
      <c r="AR27" s="3"/>
      <c r="AS27" s="3"/>
      <c r="AT27" s="11"/>
      <c r="AV27" s="8"/>
      <c r="AW27" s="3"/>
      <c r="AX27" s="11"/>
    </row>
    <row r="28" spans="7:62" x14ac:dyDescent="0.3">
      <c r="G28" s="1" t="s">
        <v>144</v>
      </c>
      <c r="R28" s="1" t="s">
        <v>191</v>
      </c>
      <c r="S28" s="1" t="s">
        <v>2</v>
      </c>
      <c r="W28" s="1" t="s">
        <v>5</v>
      </c>
      <c r="AF28" s="8"/>
      <c r="AG28" s="3"/>
      <c r="AH28" s="3"/>
      <c r="AI28" s="3"/>
      <c r="AJ28" s="3"/>
      <c r="AK28" s="44"/>
      <c r="AL28" s="3"/>
      <c r="AM28" s="3"/>
      <c r="AN28" s="3"/>
      <c r="AO28" s="3"/>
      <c r="AP28" s="3"/>
      <c r="AQ28" s="3"/>
      <c r="AR28" s="3">
        <v>-1</v>
      </c>
      <c r="AS28" s="3">
        <v>-1</v>
      </c>
      <c r="AT28" s="11"/>
      <c r="AV28" s="8"/>
      <c r="AW28" s="3"/>
      <c r="AX28" s="11"/>
    </row>
    <row r="29" spans="7:62" x14ac:dyDescent="0.3">
      <c r="G29" s="1" t="s">
        <v>145</v>
      </c>
      <c r="S29" s="1" t="s">
        <v>2</v>
      </c>
      <c r="W29" s="1" t="s">
        <v>207</v>
      </c>
      <c r="AF29" s="12"/>
      <c r="AG29" s="9"/>
      <c r="AH29" s="9"/>
      <c r="AI29" s="9"/>
      <c r="AJ29" s="9"/>
      <c r="AK29" s="46">
        <v>1</v>
      </c>
      <c r="AL29" s="9"/>
      <c r="AM29" s="9"/>
      <c r="AN29" s="9"/>
      <c r="AO29" s="9"/>
      <c r="AP29" s="9"/>
      <c r="AQ29" s="9"/>
      <c r="AR29" s="9"/>
      <c r="AS29" s="9"/>
      <c r="AT29" s="13"/>
      <c r="AV29" s="12"/>
      <c r="AW29" s="9"/>
      <c r="AX29" s="13"/>
    </row>
    <row r="32" spans="7:62" x14ac:dyDescent="0.3">
      <c r="J32" s="1" t="s">
        <v>167</v>
      </c>
      <c r="Q32" s="1" t="s">
        <v>188</v>
      </c>
      <c r="S32" s="1" t="s">
        <v>1</v>
      </c>
      <c r="W32" s="1" t="s">
        <v>208</v>
      </c>
      <c r="X32" s="6">
        <v>1</v>
      </c>
      <c r="Y32" s="7"/>
      <c r="Z32" s="43"/>
      <c r="AA32" s="5"/>
      <c r="AB32" s="5"/>
      <c r="AC32" s="5"/>
      <c r="AD32" s="23"/>
      <c r="AF32" s="6">
        <v>1</v>
      </c>
      <c r="AG32" s="7"/>
      <c r="AH32" s="7"/>
      <c r="AI32" s="7"/>
      <c r="AJ32" s="7"/>
      <c r="AK32" s="43"/>
      <c r="AL32" s="5"/>
      <c r="AM32" s="5"/>
      <c r="AN32" s="5"/>
      <c r="AO32" s="5"/>
      <c r="AP32" s="5"/>
      <c r="AQ32" s="5"/>
      <c r="AR32" s="5"/>
      <c r="AS32" s="5"/>
      <c r="AT32" s="23"/>
    </row>
    <row r="33" spans="1:52" x14ac:dyDescent="0.3">
      <c r="J33" s="1" t="s">
        <v>168</v>
      </c>
      <c r="Q33" s="1" t="s">
        <v>188</v>
      </c>
      <c r="S33" s="1" t="s">
        <v>1</v>
      </c>
      <c r="W33" s="1" t="s">
        <v>209</v>
      </c>
      <c r="X33" s="8">
        <v>1</v>
      </c>
      <c r="Y33" s="3"/>
      <c r="Z33" s="44"/>
      <c r="AD33" s="24"/>
      <c r="AF33" s="8"/>
      <c r="AG33" s="3">
        <v>1</v>
      </c>
      <c r="AH33" s="3"/>
      <c r="AI33" s="3"/>
      <c r="AJ33" s="3"/>
      <c r="AK33" s="44"/>
      <c r="AT33" s="24"/>
    </row>
    <row r="34" spans="1:52" x14ac:dyDescent="0.3">
      <c r="J34" s="1" t="s">
        <v>169</v>
      </c>
      <c r="Q34" s="1" t="s">
        <v>188</v>
      </c>
      <c r="R34" s="1" t="s">
        <v>194</v>
      </c>
      <c r="S34" s="1" t="s">
        <v>1</v>
      </c>
      <c r="W34" s="1" t="s">
        <v>229</v>
      </c>
      <c r="X34" s="8"/>
      <c r="Y34" s="3">
        <v>1</v>
      </c>
      <c r="Z34" s="44"/>
      <c r="AD34" s="24"/>
      <c r="AF34" s="8"/>
      <c r="AG34" s="3"/>
      <c r="AH34" s="3">
        <v>1</v>
      </c>
      <c r="AI34" s="3">
        <v>1</v>
      </c>
      <c r="AJ34" s="3"/>
      <c r="AK34" s="44"/>
      <c r="AT34" s="24"/>
    </row>
    <row r="35" spans="1:52" x14ac:dyDescent="0.3">
      <c r="J35" s="1" t="s">
        <v>170</v>
      </c>
      <c r="Q35" s="1" t="s">
        <v>188</v>
      </c>
      <c r="S35" s="1" t="s">
        <v>1</v>
      </c>
      <c r="W35" s="1" t="s">
        <v>204</v>
      </c>
      <c r="X35" s="8"/>
      <c r="Y35" s="3"/>
      <c r="Z35" s="44">
        <v>1</v>
      </c>
      <c r="AD35" s="24"/>
      <c r="AF35" s="8"/>
      <c r="AG35" s="3"/>
      <c r="AH35" s="3"/>
      <c r="AI35" s="3"/>
      <c r="AJ35" s="3">
        <v>1</v>
      </c>
      <c r="AK35" s="44">
        <v>1</v>
      </c>
      <c r="AT35" s="24"/>
    </row>
    <row r="36" spans="1:52" x14ac:dyDescent="0.3">
      <c r="J36" s="1" t="s">
        <v>171</v>
      </c>
      <c r="Q36" s="1" t="s">
        <v>188</v>
      </c>
      <c r="S36" s="1" t="s">
        <v>2</v>
      </c>
      <c r="W36" s="1" t="s">
        <v>205</v>
      </c>
      <c r="X36" s="93"/>
      <c r="Y36" s="58"/>
      <c r="Z36" s="59"/>
      <c r="AA36" s="41">
        <v>1</v>
      </c>
      <c r="AB36" s="41"/>
      <c r="AC36" s="41"/>
      <c r="AD36" s="42"/>
      <c r="AF36" s="93"/>
      <c r="AG36" s="58"/>
      <c r="AH36" s="58"/>
      <c r="AI36" s="58"/>
      <c r="AJ36" s="58"/>
      <c r="AK36" s="59"/>
      <c r="AL36" s="41">
        <v>1</v>
      </c>
      <c r="AM36" s="41"/>
      <c r="AN36" s="41"/>
      <c r="AO36" s="41"/>
      <c r="AP36" s="41"/>
      <c r="AQ36" s="41"/>
      <c r="AR36" s="41"/>
      <c r="AS36" s="41"/>
      <c r="AT36" s="42"/>
    </row>
    <row r="37" spans="1:52" x14ac:dyDescent="0.3">
      <c r="J37" s="1" t="s">
        <v>172</v>
      </c>
      <c r="Q37" s="1" t="s">
        <v>188</v>
      </c>
      <c r="S37" s="1" t="s">
        <v>2</v>
      </c>
      <c r="W37" s="1" t="s">
        <v>206</v>
      </c>
      <c r="X37" s="25"/>
      <c r="Z37" s="60"/>
      <c r="AA37" s="3"/>
      <c r="AB37" s="3">
        <v>1</v>
      </c>
      <c r="AC37" s="3"/>
      <c r="AD37" s="11"/>
      <c r="AF37" s="25"/>
      <c r="AK37" s="60"/>
      <c r="AL37" s="3"/>
      <c r="AM37" s="3">
        <v>1</v>
      </c>
      <c r="AN37" s="3">
        <v>1</v>
      </c>
      <c r="AO37" s="3"/>
      <c r="AP37" s="3"/>
      <c r="AQ37" s="3"/>
      <c r="AR37" s="3"/>
      <c r="AS37" s="3"/>
      <c r="AT37" s="11"/>
    </row>
    <row r="38" spans="1:52" x14ac:dyDescent="0.3">
      <c r="J38" s="1" t="s">
        <v>173</v>
      </c>
      <c r="Q38" s="1" t="s">
        <v>188</v>
      </c>
      <c r="S38" s="1" t="s">
        <v>2</v>
      </c>
      <c r="W38" s="1" t="s">
        <v>217</v>
      </c>
      <c r="X38" s="25"/>
      <c r="Z38" s="60"/>
      <c r="AA38" s="3">
        <v>1</v>
      </c>
      <c r="AB38" s="3">
        <v>1</v>
      </c>
      <c r="AC38" s="3"/>
      <c r="AD38" s="11"/>
      <c r="AF38" s="25"/>
      <c r="AK38" s="60"/>
      <c r="AL38" s="3"/>
      <c r="AM38" s="3"/>
      <c r="AN38" s="3"/>
      <c r="AO38" s="3">
        <v>1</v>
      </c>
      <c r="AP38" s="3"/>
      <c r="AQ38" s="3"/>
      <c r="AR38" s="3"/>
      <c r="AS38" s="3"/>
      <c r="AT38" s="11"/>
    </row>
    <row r="39" spans="1:52" x14ac:dyDescent="0.3">
      <c r="J39" s="1" t="s">
        <v>174</v>
      </c>
      <c r="Q39" s="1" t="s">
        <v>188</v>
      </c>
      <c r="R39" s="1" t="s">
        <v>194</v>
      </c>
      <c r="S39" s="1" t="s">
        <v>2</v>
      </c>
      <c r="W39" s="1" t="s">
        <v>5</v>
      </c>
      <c r="X39" s="25"/>
      <c r="Z39" s="60"/>
      <c r="AA39" s="3"/>
      <c r="AB39" s="3"/>
      <c r="AC39" s="116">
        <v>1</v>
      </c>
      <c r="AD39" s="11"/>
      <c r="AF39" s="25"/>
      <c r="AK39" s="60"/>
      <c r="AL39" s="3"/>
      <c r="AM39" s="3"/>
      <c r="AN39" s="3"/>
      <c r="AO39" s="3"/>
      <c r="AP39" s="20">
        <v>1</v>
      </c>
      <c r="AQ39" s="22">
        <v>1</v>
      </c>
      <c r="AR39" s="3"/>
      <c r="AS39" s="3"/>
      <c r="AT39" s="11"/>
    </row>
    <row r="40" spans="1:52" x14ac:dyDescent="0.3">
      <c r="J40" s="1" t="s">
        <v>175</v>
      </c>
      <c r="Q40" s="1" t="s">
        <v>188</v>
      </c>
      <c r="S40" s="1" t="s">
        <v>2</v>
      </c>
      <c r="W40" s="1" t="s">
        <v>220</v>
      </c>
      <c r="X40" s="25"/>
      <c r="Z40" s="60"/>
      <c r="AA40" s="3"/>
      <c r="AB40" s="3"/>
      <c r="AC40" s="3"/>
      <c r="AD40" s="11">
        <v>0</v>
      </c>
      <c r="AF40" s="25"/>
      <c r="AK40" s="60"/>
      <c r="AL40" s="3"/>
      <c r="AM40" s="3"/>
      <c r="AN40" s="3"/>
      <c r="AO40" s="3"/>
      <c r="AP40" s="3"/>
      <c r="AQ40" s="3"/>
      <c r="AR40" s="3">
        <v>0</v>
      </c>
      <c r="AS40" s="3"/>
      <c r="AT40" s="11"/>
    </row>
    <row r="41" spans="1:52" x14ac:dyDescent="0.3">
      <c r="J41" s="1" t="s">
        <v>176</v>
      </c>
      <c r="Q41" s="1" t="s">
        <v>188</v>
      </c>
      <c r="S41" s="1" t="s">
        <v>2</v>
      </c>
      <c r="W41" s="1" t="s">
        <v>222</v>
      </c>
      <c r="X41" s="26"/>
      <c r="Y41" s="27"/>
      <c r="Z41" s="92"/>
      <c r="AA41" s="9"/>
      <c r="AB41" s="9"/>
      <c r="AC41" s="9"/>
      <c r="AD41" s="13">
        <v>1</v>
      </c>
      <c r="AF41" s="26"/>
      <c r="AG41" s="27"/>
      <c r="AH41" s="27"/>
      <c r="AI41" s="27"/>
      <c r="AJ41" s="27"/>
      <c r="AK41" s="92"/>
      <c r="AL41" s="9"/>
      <c r="AM41" s="9"/>
      <c r="AN41" s="9"/>
      <c r="AO41" s="9"/>
      <c r="AP41" s="9"/>
      <c r="AQ41" s="9"/>
      <c r="AR41" s="9"/>
      <c r="AS41" s="9">
        <v>0</v>
      </c>
      <c r="AT41" s="13">
        <v>1</v>
      </c>
    </row>
    <row r="44" spans="1:52" ht="15" customHeight="1" x14ac:dyDescent="0.3">
      <c r="A44" s="1" t="s">
        <v>230</v>
      </c>
      <c r="Q44" s="1" t="s">
        <v>189</v>
      </c>
      <c r="W44" s="1" t="s">
        <v>231</v>
      </c>
      <c r="X44" s="20">
        <v>1</v>
      </c>
      <c r="Y44" s="21">
        <v>0</v>
      </c>
      <c r="Z44" s="47">
        <v>0</v>
      </c>
      <c r="AA44" s="21">
        <v>0</v>
      </c>
      <c r="AB44" s="21">
        <v>0</v>
      </c>
      <c r="AC44" s="21">
        <v>1</v>
      </c>
      <c r="AD44" s="22">
        <v>0</v>
      </c>
    </row>
    <row r="46" spans="1:52" x14ac:dyDescent="0.3">
      <c r="A46" s="49">
        <v>1</v>
      </c>
      <c r="B46" s="49"/>
      <c r="C46" s="49"/>
      <c r="D46" s="49"/>
      <c r="AZ46" s="78"/>
    </row>
    <row r="48" spans="1:52" x14ac:dyDescent="0.3">
      <c r="E48" s="1" t="s">
        <v>1</v>
      </c>
      <c r="F48" s="1" t="s">
        <v>2</v>
      </c>
      <c r="AZ48" s="78"/>
    </row>
    <row r="50" spans="1:55" x14ac:dyDescent="0.3">
      <c r="E50" s="1" t="s">
        <v>1</v>
      </c>
      <c r="G50" s="1" t="s">
        <v>139</v>
      </c>
      <c r="S50" s="1" t="s">
        <v>1</v>
      </c>
      <c r="T50" s="1" t="s">
        <v>232</v>
      </c>
      <c r="W50" s="1" t="s">
        <v>202</v>
      </c>
      <c r="AV50" s="6"/>
      <c r="AW50" s="7"/>
      <c r="AX50" s="10"/>
    </row>
    <row r="51" spans="1:55" x14ac:dyDescent="0.3">
      <c r="G51" s="1" t="s">
        <v>140</v>
      </c>
      <c r="S51" s="1" t="s">
        <v>1</v>
      </c>
      <c r="T51" s="1" t="s">
        <v>232</v>
      </c>
      <c r="W51" s="1" t="s">
        <v>203</v>
      </c>
      <c r="AV51" s="8"/>
      <c r="AW51" s="3"/>
      <c r="AX51" s="11"/>
    </row>
    <row r="52" spans="1:55" x14ac:dyDescent="0.3">
      <c r="G52" s="1" t="s">
        <v>141</v>
      </c>
      <c r="S52" s="1" t="s">
        <v>1</v>
      </c>
      <c r="T52" s="1" t="s">
        <v>232</v>
      </c>
      <c r="W52" s="1" t="s">
        <v>204</v>
      </c>
      <c r="AV52" s="8"/>
      <c r="AW52" s="3"/>
      <c r="AX52" s="11"/>
    </row>
    <row r="53" spans="1:55" x14ac:dyDescent="0.3">
      <c r="G53" s="1" t="s">
        <v>142</v>
      </c>
      <c r="S53" s="1" t="s">
        <v>2</v>
      </c>
      <c r="T53" s="1" t="s">
        <v>232</v>
      </c>
      <c r="W53" s="1" t="s">
        <v>205</v>
      </c>
      <c r="AV53" s="40"/>
      <c r="AW53" s="41"/>
      <c r="AX53" s="42"/>
    </row>
    <row r="54" spans="1:55" x14ac:dyDescent="0.3">
      <c r="G54" s="1" t="s">
        <v>143</v>
      </c>
      <c r="S54" s="1" t="s">
        <v>2</v>
      </c>
      <c r="T54" s="1" t="s">
        <v>232</v>
      </c>
      <c r="W54" s="1" t="s">
        <v>206</v>
      </c>
      <c r="AV54" s="8"/>
      <c r="AW54" s="3"/>
      <c r="AX54" s="11"/>
    </row>
    <row r="55" spans="1:55" x14ac:dyDescent="0.3">
      <c r="G55" s="1" t="s">
        <v>144</v>
      </c>
      <c r="S55" s="1" t="s">
        <v>2</v>
      </c>
      <c r="T55" s="1" t="s">
        <v>232</v>
      </c>
      <c r="W55" s="1" t="s">
        <v>5</v>
      </c>
      <c r="AV55" s="8"/>
      <c r="AW55" s="3"/>
      <c r="AX55" s="11"/>
    </row>
    <row r="56" spans="1:55" x14ac:dyDescent="0.3">
      <c r="G56" s="1" t="s">
        <v>145</v>
      </c>
      <c r="S56" s="1" t="s">
        <v>2</v>
      </c>
      <c r="T56" s="1" t="s">
        <v>232</v>
      </c>
      <c r="W56" s="1" t="s">
        <v>207</v>
      </c>
      <c r="AV56" s="12"/>
      <c r="AW56" s="9"/>
      <c r="AX56" s="13"/>
    </row>
    <row r="59" spans="1:55" x14ac:dyDescent="0.3">
      <c r="A59" s="49"/>
      <c r="B59" s="49"/>
      <c r="C59" s="49"/>
      <c r="D59" s="49"/>
      <c r="E59" s="1" t="s">
        <v>1</v>
      </c>
      <c r="AV59" s="20"/>
      <c r="AW59" s="21"/>
      <c r="AX59" s="22"/>
    </row>
    <row r="60" spans="1:55" x14ac:dyDescent="0.3">
      <c r="BC60" s="2" t="s">
        <v>233</v>
      </c>
    </row>
    <row r="62" spans="1:55" x14ac:dyDescent="0.3">
      <c r="E62" s="1" t="s">
        <v>1</v>
      </c>
      <c r="G62" s="1" t="s">
        <v>139</v>
      </c>
      <c r="S62" s="1" t="s">
        <v>1</v>
      </c>
      <c r="W62" s="1" t="s">
        <v>202</v>
      </c>
      <c r="AV62" s="14"/>
      <c r="AW62" s="52"/>
      <c r="AX62" s="15"/>
      <c r="BC62" s="1" t="s">
        <v>234</v>
      </c>
    </row>
    <row r="63" spans="1:55" x14ac:dyDescent="0.3">
      <c r="G63" s="1" t="s">
        <v>140</v>
      </c>
      <c r="S63" s="1" t="s">
        <v>1</v>
      </c>
      <c r="W63" s="1" t="s">
        <v>203</v>
      </c>
      <c r="AV63" s="16"/>
      <c r="AW63" s="4"/>
      <c r="AX63" s="17"/>
    </row>
    <row r="64" spans="1:55" x14ac:dyDescent="0.3">
      <c r="G64" s="1" t="s">
        <v>141</v>
      </c>
      <c r="S64" s="1" t="s">
        <v>1</v>
      </c>
      <c r="W64" s="1" t="s">
        <v>204</v>
      </c>
      <c r="AV64" s="16"/>
      <c r="AW64" s="4"/>
      <c r="AX64" s="17"/>
    </row>
    <row r="65" spans="5:55" x14ac:dyDescent="0.3">
      <c r="G65" s="1" t="s">
        <v>142</v>
      </c>
      <c r="S65" s="1" t="s">
        <v>2</v>
      </c>
      <c r="W65" s="1" t="s">
        <v>205</v>
      </c>
      <c r="AV65" s="50"/>
      <c r="AW65" s="53"/>
      <c r="AX65" s="51"/>
      <c r="BC65" s="1" t="s">
        <v>235</v>
      </c>
    </row>
    <row r="66" spans="5:55" x14ac:dyDescent="0.3">
      <c r="G66" s="1" t="s">
        <v>143</v>
      </c>
      <c r="S66" s="1" t="s">
        <v>2</v>
      </c>
      <c r="W66" s="1" t="s">
        <v>206</v>
      </c>
      <c r="AV66" s="16"/>
      <c r="AW66" s="4"/>
      <c r="AX66" s="17"/>
    </row>
    <row r="67" spans="5:55" x14ac:dyDescent="0.3">
      <c r="G67" s="1" t="s">
        <v>144</v>
      </c>
      <c r="S67" s="1" t="s">
        <v>2</v>
      </c>
      <c r="W67" s="1" t="s">
        <v>5</v>
      </c>
      <c r="AV67" s="16"/>
      <c r="AW67" s="4"/>
      <c r="AX67" s="17"/>
    </row>
    <row r="68" spans="5:55" x14ac:dyDescent="0.3">
      <c r="G68" s="1" t="s">
        <v>145</v>
      </c>
      <c r="S68" s="1" t="s">
        <v>2</v>
      </c>
      <c r="W68" s="1" t="s">
        <v>207</v>
      </c>
      <c r="AV68" s="18"/>
      <c r="AW68" s="54"/>
      <c r="AX68" s="19"/>
    </row>
    <row r="71" spans="5:55" x14ac:dyDescent="0.3">
      <c r="F71" s="1" t="s">
        <v>2</v>
      </c>
      <c r="W71" s="1" t="s">
        <v>236</v>
      </c>
      <c r="AA71" s="6"/>
      <c r="AB71" s="7"/>
      <c r="AC71" s="7"/>
      <c r="AD71" s="10"/>
    </row>
    <row r="72" spans="5:55" x14ac:dyDescent="0.3">
      <c r="W72" s="1" t="s">
        <v>237</v>
      </c>
      <c r="AA72" s="8"/>
      <c r="AB72" s="3"/>
      <c r="AC72" s="3"/>
      <c r="AD72" s="11"/>
    </row>
    <row r="73" spans="5:55" x14ac:dyDescent="0.3">
      <c r="W73" s="1" t="s">
        <v>238</v>
      </c>
      <c r="AA73" s="12"/>
      <c r="AB73" s="9"/>
      <c r="AC73" s="9"/>
      <c r="AD73" s="13"/>
    </row>
    <row r="76" spans="5:55" x14ac:dyDescent="0.3">
      <c r="H76" s="1" t="s">
        <v>239</v>
      </c>
      <c r="R76" s="1" t="s">
        <v>240</v>
      </c>
      <c r="W76" s="1" t="s">
        <v>241</v>
      </c>
      <c r="AF76" s="6"/>
      <c r="AG76" s="7"/>
      <c r="AH76" s="7"/>
      <c r="AI76" s="7"/>
      <c r="AJ76" s="7"/>
      <c r="AK76" s="43"/>
      <c r="AL76" s="7"/>
      <c r="AM76" s="7"/>
      <c r="AN76" s="7"/>
      <c r="AO76" s="7"/>
      <c r="AP76" s="7"/>
      <c r="AQ76" s="7"/>
      <c r="AR76" s="7"/>
      <c r="AS76" s="7"/>
      <c r="AT76" s="10"/>
      <c r="AV76" s="6"/>
      <c r="AW76" s="7"/>
      <c r="AX76" s="10"/>
    </row>
    <row r="77" spans="5:55" x14ac:dyDescent="0.3">
      <c r="H77" s="1" t="s">
        <v>242</v>
      </c>
      <c r="W77" s="1" t="s">
        <v>243</v>
      </c>
      <c r="AF77" s="12"/>
      <c r="AG77" s="9"/>
      <c r="AH77" s="9"/>
      <c r="AI77" s="9"/>
      <c r="AJ77" s="9"/>
      <c r="AK77" s="46"/>
      <c r="AL77" s="9"/>
      <c r="AM77" s="9"/>
      <c r="AN77" s="9"/>
      <c r="AO77" s="9"/>
      <c r="AP77" s="9"/>
      <c r="AQ77" s="9"/>
      <c r="AR77" s="9"/>
      <c r="AS77" s="9"/>
      <c r="AT77" s="13"/>
      <c r="AV77" s="12"/>
      <c r="AW77" s="9"/>
      <c r="AX77" s="13"/>
    </row>
    <row r="78" spans="5:55" x14ac:dyDescent="0.3">
      <c r="BC78" s="2" t="s">
        <v>244</v>
      </c>
    </row>
    <row r="79" spans="5:55" x14ac:dyDescent="0.3">
      <c r="BC79" s="2"/>
    </row>
    <row r="80" spans="5:55" x14ac:dyDescent="0.3">
      <c r="E80" s="1" t="s">
        <v>1</v>
      </c>
      <c r="H80" s="1" t="s">
        <v>245</v>
      </c>
      <c r="R80" s="1" t="s">
        <v>246</v>
      </c>
      <c r="W80" s="1" t="s">
        <v>247</v>
      </c>
      <c r="X80" s="103"/>
      <c r="Y80" s="104"/>
      <c r="Z80" s="104"/>
      <c r="AA80" s="103"/>
      <c r="AB80" s="105"/>
      <c r="AC80" s="106"/>
      <c r="AD80" s="105"/>
      <c r="AF80" s="6"/>
      <c r="AG80" s="7"/>
      <c r="AH80" s="7"/>
      <c r="AI80" s="7"/>
      <c r="AJ80" s="7"/>
      <c r="AK80" s="43"/>
      <c r="AL80" s="7"/>
      <c r="AM80" s="7"/>
      <c r="AN80" s="7"/>
      <c r="AO80" s="7"/>
      <c r="AP80" s="7"/>
      <c r="AQ80" s="7"/>
      <c r="AR80" s="7"/>
      <c r="AS80" s="7"/>
      <c r="AT80" s="10"/>
      <c r="BC80" s="1" t="s">
        <v>248</v>
      </c>
    </row>
    <row r="81" spans="5:55" x14ac:dyDescent="0.3">
      <c r="H81" s="1" t="s">
        <v>249</v>
      </c>
      <c r="W81" s="1" t="s">
        <v>243</v>
      </c>
      <c r="X81" s="107"/>
      <c r="Y81" s="108"/>
      <c r="Z81" s="108"/>
      <c r="AA81" s="107"/>
      <c r="AB81" s="109"/>
      <c r="AC81" s="110"/>
      <c r="AD81" s="109"/>
      <c r="AF81" s="12"/>
      <c r="AG81" s="9"/>
      <c r="AH81" s="9"/>
      <c r="AI81" s="9"/>
      <c r="AJ81" s="9"/>
      <c r="AK81" s="46"/>
      <c r="AL81" s="9"/>
      <c r="AM81" s="9"/>
      <c r="AN81" s="9"/>
      <c r="AO81" s="9"/>
      <c r="AP81" s="9"/>
      <c r="AQ81" s="9"/>
      <c r="AR81" s="9"/>
      <c r="AS81" s="9"/>
      <c r="AT81" s="13"/>
    </row>
    <row r="83" spans="5:55" x14ac:dyDescent="0.3">
      <c r="E83" s="1" t="s">
        <v>1</v>
      </c>
      <c r="H83" s="1" t="s">
        <v>245</v>
      </c>
      <c r="R83" s="1" t="s">
        <v>246</v>
      </c>
      <c r="W83" s="1" t="s">
        <v>247</v>
      </c>
      <c r="X83" s="170"/>
      <c r="Y83" s="199"/>
      <c r="Z83" s="199"/>
      <c r="AA83" s="199"/>
      <c r="AB83" s="171"/>
      <c r="AD83" s="200"/>
    </row>
    <row r="84" spans="5:55" x14ac:dyDescent="0.3">
      <c r="H84" s="1" t="s">
        <v>249</v>
      </c>
      <c r="W84" s="1" t="s">
        <v>243</v>
      </c>
      <c r="X84" s="160"/>
      <c r="Y84" s="161"/>
      <c r="Z84" s="161"/>
      <c r="AA84" s="161"/>
      <c r="AB84" s="162"/>
      <c r="AD84" s="189"/>
    </row>
    <row r="87" spans="5:55" x14ac:dyDescent="0.3">
      <c r="G87" s="1" t="s">
        <v>139</v>
      </c>
      <c r="H87" s="1" t="s">
        <v>250</v>
      </c>
      <c r="R87" s="1" t="s">
        <v>246</v>
      </c>
      <c r="AF87" s="6"/>
      <c r="AG87" s="7"/>
      <c r="AH87" s="7"/>
      <c r="AI87" s="7"/>
      <c r="AJ87" s="7"/>
      <c r="AK87" s="7"/>
      <c r="AL87" s="98"/>
      <c r="AM87" s="7"/>
      <c r="AN87" s="7"/>
      <c r="AO87" s="7"/>
      <c r="AP87" s="7"/>
      <c r="AQ87" s="7"/>
      <c r="AR87" s="7"/>
      <c r="AS87" s="7"/>
      <c r="AT87" s="10"/>
    </row>
    <row r="88" spans="5:55" x14ac:dyDescent="0.3">
      <c r="G88" s="1" t="s">
        <v>140</v>
      </c>
      <c r="AF88" s="8"/>
      <c r="AG88" s="3"/>
      <c r="AH88" s="3"/>
      <c r="AI88" s="3"/>
      <c r="AJ88" s="3"/>
      <c r="AK88" s="3"/>
      <c r="AL88" s="117"/>
      <c r="AM88" s="3"/>
      <c r="AN88" s="3"/>
      <c r="AO88" s="3"/>
      <c r="AP88" s="3"/>
      <c r="AQ88" s="3"/>
      <c r="AR88" s="3"/>
      <c r="AS88" s="3"/>
      <c r="AT88" s="11"/>
    </row>
    <row r="89" spans="5:55" x14ac:dyDescent="0.3">
      <c r="G89" s="1" t="s">
        <v>141</v>
      </c>
      <c r="AF89" s="8"/>
      <c r="AG89" s="3"/>
      <c r="AH89" s="3"/>
      <c r="AI89" s="3"/>
      <c r="AJ89" s="3"/>
      <c r="AK89" s="3"/>
      <c r="AL89" s="117"/>
      <c r="AM89" s="3"/>
      <c r="AN89" s="3"/>
      <c r="AO89" s="3"/>
      <c r="AP89" s="3"/>
      <c r="AQ89" s="3"/>
      <c r="AR89" s="3"/>
      <c r="AS89" s="3"/>
      <c r="AT89" s="11"/>
    </row>
    <row r="90" spans="5:55" x14ac:dyDescent="0.3">
      <c r="G90" s="1" t="s">
        <v>142</v>
      </c>
      <c r="AF90" s="8"/>
      <c r="AG90" s="3"/>
      <c r="AH90" s="3"/>
      <c r="AI90" s="3"/>
      <c r="AJ90" s="3"/>
      <c r="AK90" s="3"/>
      <c r="AL90" s="117"/>
      <c r="AM90" s="3"/>
      <c r="AN90" s="3"/>
      <c r="AO90" s="3"/>
      <c r="AP90" s="3"/>
      <c r="AQ90" s="3"/>
      <c r="AR90" s="3"/>
      <c r="AS90" s="3"/>
      <c r="AT90" s="11"/>
    </row>
    <row r="91" spans="5:55" x14ac:dyDescent="0.3">
      <c r="G91" s="1" t="s">
        <v>143</v>
      </c>
      <c r="AF91" s="8"/>
      <c r="AG91" s="3"/>
      <c r="AH91" s="3"/>
      <c r="AI91" s="3"/>
      <c r="AJ91" s="3"/>
      <c r="AK91" s="3"/>
      <c r="AL91" s="117"/>
      <c r="AM91" s="3"/>
      <c r="AN91" s="3"/>
      <c r="AO91" s="3"/>
      <c r="AP91" s="3"/>
      <c r="AQ91" s="3"/>
      <c r="AR91" s="3"/>
      <c r="AS91" s="3"/>
      <c r="AT91" s="11"/>
    </row>
    <row r="92" spans="5:55" x14ac:dyDescent="0.3">
      <c r="G92" s="1" t="s">
        <v>144</v>
      </c>
      <c r="AF92" s="8"/>
      <c r="AG92" s="3"/>
      <c r="AH92" s="3"/>
      <c r="AI92" s="3"/>
      <c r="AJ92" s="3"/>
      <c r="AK92" s="3"/>
      <c r="AL92" s="117"/>
      <c r="AM92" s="3"/>
      <c r="AN92" s="3"/>
      <c r="AO92" s="3"/>
      <c r="AP92" s="3"/>
      <c r="AQ92" s="3"/>
      <c r="AR92" s="3"/>
      <c r="AS92" s="3"/>
      <c r="AT92" s="11"/>
    </row>
    <row r="93" spans="5:55" x14ac:dyDescent="0.3">
      <c r="G93" s="1" t="s">
        <v>145</v>
      </c>
      <c r="AF93" s="12"/>
      <c r="AG93" s="9"/>
      <c r="AH93" s="9"/>
      <c r="AI93" s="9"/>
      <c r="AJ93" s="9"/>
      <c r="AK93" s="9"/>
      <c r="AL93" s="99"/>
      <c r="AM93" s="9"/>
      <c r="AN93" s="9"/>
      <c r="AO93" s="9"/>
      <c r="AP93" s="9"/>
      <c r="AQ93" s="9"/>
      <c r="AR93" s="9"/>
      <c r="AS93" s="9"/>
      <c r="AT93" s="13"/>
      <c r="BC93" s="38"/>
    </row>
    <row r="97" spans="5:55" x14ac:dyDescent="0.3">
      <c r="BC97" s="2" t="s">
        <v>251</v>
      </c>
    </row>
    <row r="99" spans="5:55" x14ac:dyDescent="0.3">
      <c r="E99" s="1" t="s">
        <v>1</v>
      </c>
      <c r="X99" s="111"/>
      <c r="Y99" s="112"/>
      <c r="Z99" s="113"/>
      <c r="AA99" s="112"/>
      <c r="AB99" s="112"/>
      <c r="AC99" s="114"/>
      <c r="AD99" s="115"/>
      <c r="AF99" s="111"/>
      <c r="AG99" s="112"/>
      <c r="AH99" s="112"/>
      <c r="AI99" s="112"/>
      <c r="AJ99" s="111"/>
      <c r="AK99" s="115"/>
      <c r="AL99" s="112"/>
      <c r="AM99" s="112"/>
      <c r="AN99" s="115"/>
      <c r="AO99" s="112"/>
      <c r="AP99" s="111"/>
      <c r="AQ99" s="115"/>
      <c r="AR99" s="112"/>
      <c r="AS99" s="112"/>
      <c r="AT99" s="115"/>
      <c r="BC99" s="1" t="s">
        <v>252</v>
      </c>
    </row>
    <row r="102" spans="5:55" x14ac:dyDescent="0.3">
      <c r="E102" s="1" t="s">
        <v>1</v>
      </c>
      <c r="X102" s="111"/>
      <c r="Y102" s="112"/>
      <c r="Z102" s="113"/>
      <c r="AA102" s="112"/>
      <c r="AB102" s="112"/>
      <c r="AC102" s="112"/>
      <c r="AD102" s="115"/>
    </row>
    <row r="104" spans="5:55" x14ac:dyDescent="0.3">
      <c r="BC104" s="1" t="s">
        <v>253</v>
      </c>
    </row>
    <row r="105" spans="5:55" x14ac:dyDescent="0.3">
      <c r="E105" s="1" t="s">
        <v>1</v>
      </c>
      <c r="F105" s="1" t="s">
        <v>2</v>
      </c>
      <c r="W105" s="1" t="s">
        <v>236</v>
      </c>
      <c r="AA105" s="80"/>
      <c r="AB105" s="81"/>
      <c r="AC105" s="81"/>
      <c r="AD105" s="82"/>
      <c r="AL105" s="80"/>
      <c r="AM105" s="81"/>
      <c r="AN105" s="82"/>
      <c r="AO105" s="81"/>
      <c r="AP105" s="81"/>
      <c r="AQ105" s="81"/>
      <c r="AR105" s="178"/>
      <c r="AS105" s="178"/>
      <c r="AT105" s="82"/>
    </row>
    <row r="106" spans="5:55" x14ac:dyDescent="0.3">
      <c r="W106" s="1" t="s">
        <v>237</v>
      </c>
      <c r="AA106" s="83"/>
      <c r="AB106" s="56"/>
      <c r="AC106" s="56"/>
      <c r="AD106" s="84"/>
      <c r="AL106" s="83"/>
      <c r="AM106" s="56"/>
      <c r="AN106" s="84"/>
      <c r="AO106" s="56"/>
      <c r="AP106" s="56"/>
      <c r="AQ106" s="56"/>
      <c r="AR106" s="179"/>
      <c r="AS106" s="179"/>
      <c r="AT106" s="84"/>
    </row>
    <row r="107" spans="5:55" x14ac:dyDescent="0.3">
      <c r="W107" s="1" t="s">
        <v>238</v>
      </c>
      <c r="AA107" s="85"/>
      <c r="AB107" s="86"/>
      <c r="AC107" s="86"/>
      <c r="AD107" s="87"/>
      <c r="AL107" s="85"/>
      <c r="AM107" s="86"/>
      <c r="AN107" s="87"/>
      <c r="AO107" s="86"/>
      <c r="AP107" s="86"/>
      <c r="AQ107" s="86"/>
      <c r="AR107" s="180"/>
      <c r="AS107" s="180"/>
      <c r="AT107" s="87"/>
    </row>
    <row r="109" spans="5:55" x14ac:dyDescent="0.3">
      <c r="BC109" s="1" t="s">
        <v>254</v>
      </c>
    </row>
    <row r="110" spans="5:55" x14ac:dyDescent="0.3">
      <c r="E110" s="1" t="s">
        <v>1</v>
      </c>
      <c r="F110" s="1" t="s">
        <v>2</v>
      </c>
      <c r="W110" s="1" t="s">
        <v>236</v>
      </c>
      <c r="AA110" s="80"/>
      <c r="AB110" s="81"/>
      <c r="AC110" s="81"/>
      <c r="AD110" s="82"/>
    </row>
    <row r="111" spans="5:55" x14ac:dyDescent="0.3">
      <c r="W111" s="1" t="s">
        <v>237</v>
      </c>
      <c r="AA111" s="83"/>
      <c r="AB111" s="56"/>
      <c r="AC111" s="56"/>
      <c r="AD111" s="84"/>
    </row>
    <row r="112" spans="5:55" x14ac:dyDescent="0.3">
      <c r="W112" s="1" t="s">
        <v>238</v>
      </c>
      <c r="AA112" s="85"/>
      <c r="AB112" s="86"/>
      <c r="AC112" s="86"/>
      <c r="AD112" s="87"/>
    </row>
    <row r="116" spans="5:55" x14ac:dyDescent="0.3">
      <c r="E116" s="1" t="s">
        <v>1</v>
      </c>
      <c r="G116" s="1" t="s">
        <v>139</v>
      </c>
      <c r="S116" s="1" t="s">
        <v>1</v>
      </c>
      <c r="W116" s="1" t="s">
        <v>202</v>
      </c>
      <c r="AF116" s="68"/>
      <c r="AG116" s="69"/>
      <c r="AH116" s="69"/>
      <c r="AI116" s="69"/>
      <c r="AJ116" s="69"/>
      <c r="AK116" s="89"/>
      <c r="AL116" s="69"/>
      <c r="AM116" s="69"/>
      <c r="AN116" s="69"/>
      <c r="AO116" s="69"/>
      <c r="AP116" s="69"/>
      <c r="AQ116" s="69"/>
      <c r="AR116" s="69"/>
      <c r="AS116" s="69"/>
      <c r="AT116" s="74"/>
    </row>
    <row r="117" spans="5:55" x14ac:dyDescent="0.3">
      <c r="G117" s="1" t="s">
        <v>140</v>
      </c>
      <c r="S117" s="1" t="s">
        <v>1</v>
      </c>
      <c r="W117" s="1" t="s">
        <v>203</v>
      </c>
      <c r="AF117" s="70"/>
      <c r="AG117" s="57"/>
      <c r="AH117" s="57"/>
      <c r="AI117" s="57"/>
      <c r="AJ117" s="57"/>
      <c r="AK117" s="90"/>
      <c r="AL117" s="57"/>
      <c r="AM117" s="57"/>
      <c r="AN117" s="57"/>
      <c r="AO117" s="57"/>
      <c r="AP117" s="57"/>
      <c r="AQ117" s="57"/>
      <c r="AR117" s="57"/>
      <c r="AS117" s="57"/>
      <c r="AT117" s="71"/>
      <c r="BC117" s="1" t="s">
        <v>255</v>
      </c>
    </row>
    <row r="118" spans="5:55" x14ac:dyDescent="0.3">
      <c r="G118" s="1" t="s">
        <v>141</v>
      </c>
      <c r="S118" s="1" t="s">
        <v>1</v>
      </c>
      <c r="W118" s="1" t="s">
        <v>204</v>
      </c>
      <c r="AF118" s="70"/>
      <c r="AG118" s="57"/>
      <c r="AH118" s="57"/>
      <c r="AI118" s="57"/>
      <c r="AJ118" s="57"/>
      <c r="AK118" s="90"/>
      <c r="AL118" s="57"/>
      <c r="AM118" s="57"/>
      <c r="AN118" s="57"/>
      <c r="AO118" s="57"/>
      <c r="AP118" s="57"/>
      <c r="AQ118" s="57"/>
      <c r="AR118" s="57"/>
      <c r="AS118" s="57"/>
      <c r="AT118" s="71"/>
    </row>
    <row r="119" spans="5:55" x14ac:dyDescent="0.3">
      <c r="G119" s="1" t="s">
        <v>142</v>
      </c>
      <c r="S119" s="1" t="s">
        <v>2</v>
      </c>
      <c r="W119" s="1" t="s">
        <v>205</v>
      </c>
      <c r="AF119" s="94"/>
      <c r="AG119" s="95"/>
      <c r="AH119" s="95"/>
      <c r="AI119" s="95"/>
      <c r="AJ119" s="95"/>
      <c r="AK119" s="96"/>
      <c r="AL119" s="95"/>
      <c r="AM119" s="95"/>
      <c r="AN119" s="95"/>
      <c r="AO119" s="95"/>
      <c r="AP119" s="95"/>
      <c r="AQ119" s="95"/>
      <c r="AR119" s="95"/>
      <c r="AS119" s="95"/>
      <c r="AT119" s="97"/>
    </row>
    <row r="120" spans="5:55" x14ac:dyDescent="0.3">
      <c r="G120" s="1" t="s">
        <v>143</v>
      </c>
      <c r="S120" s="1" t="s">
        <v>2</v>
      </c>
      <c r="W120" s="1" t="s">
        <v>206</v>
      </c>
      <c r="AF120" s="70"/>
      <c r="AG120" s="57"/>
      <c r="AH120" s="57"/>
      <c r="AI120" s="57"/>
      <c r="AJ120" s="57"/>
      <c r="AK120" s="90"/>
      <c r="AL120" s="57"/>
      <c r="AM120" s="57"/>
      <c r="AN120" s="57"/>
      <c r="AO120" s="57"/>
      <c r="AP120" s="57"/>
      <c r="AQ120" s="57"/>
      <c r="AR120" s="57"/>
      <c r="AS120" s="57"/>
      <c r="AT120" s="71"/>
    </row>
    <row r="121" spans="5:55" x14ac:dyDescent="0.3">
      <c r="G121" s="1" t="s">
        <v>144</v>
      </c>
      <c r="S121" s="1" t="s">
        <v>2</v>
      </c>
      <c r="W121" s="1" t="s">
        <v>5</v>
      </c>
      <c r="AF121" s="70"/>
      <c r="AG121" s="57"/>
      <c r="AH121" s="57"/>
      <c r="AI121" s="57"/>
      <c r="AJ121" s="57"/>
      <c r="AK121" s="90"/>
      <c r="AL121" s="57"/>
      <c r="AM121" s="57"/>
      <c r="AN121" s="57"/>
      <c r="AO121" s="57"/>
      <c r="AP121" s="57"/>
      <c r="AQ121" s="57"/>
      <c r="AR121" s="57"/>
      <c r="AS121" s="57"/>
      <c r="AT121" s="71"/>
    </row>
    <row r="122" spans="5:55" x14ac:dyDescent="0.3">
      <c r="G122" s="1" t="s">
        <v>145</v>
      </c>
      <c r="S122" s="1" t="s">
        <v>2</v>
      </c>
      <c r="W122" s="1" t="s">
        <v>207</v>
      </c>
      <c r="AF122" s="75"/>
      <c r="AG122" s="72"/>
      <c r="AH122" s="72"/>
      <c r="AI122" s="72"/>
      <c r="AJ122" s="72"/>
      <c r="AK122" s="91"/>
      <c r="AL122" s="72"/>
      <c r="AM122" s="72"/>
      <c r="AN122" s="72"/>
      <c r="AO122" s="72"/>
      <c r="AP122" s="72"/>
      <c r="AQ122" s="72"/>
      <c r="AR122" s="72"/>
      <c r="AS122" s="72"/>
      <c r="AT122" s="73"/>
    </row>
    <row r="125" spans="5:55" x14ac:dyDescent="0.3">
      <c r="E125" s="1" t="s">
        <v>1</v>
      </c>
      <c r="J125" s="1" t="s">
        <v>167</v>
      </c>
      <c r="Q125" s="1" t="s">
        <v>188</v>
      </c>
      <c r="S125" s="1" t="s">
        <v>1</v>
      </c>
      <c r="W125" s="1" t="s">
        <v>208</v>
      </c>
      <c r="X125" s="68"/>
      <c r="Y125" s="69"/>
      <c r="Z125" s="89"/>
      <c r="AA125" s="69"/>
      <c r="AB125" s="69"/>
      <c r="AC125" s="69"/>
      <c r="AD125" s="74"/>
    </row>
    <row r="126" spans="5:55" x14ac:dyDescent="0.3">
      <c r="J126" s="1" t="s">
        <v>168</v>
      </c>
      <c r="Q126" s="1" t="s">
        <v>188</v>
      </c>
      <c r="S126" s="1" t="s">
        <v>1</v>
      </c>
      <c r="W126" s="1" t="s">
        <v>209</v>
      </c>
      <c r="X126" s="70"/>
      <c r="Y126" s="57"/>
      <c r="Z126" s="90"/>
      <c r="AA126" s="57"/>
      <c r="AB126" s="57"/>
      <c r="AC126" s="57"/>
      <c r="AD126" s="71"/>
    </row>
    <row r="127" spans="5:55" x14ac:dyDescent="0.3">
      <c r="J127" s="1" t="s">
        <v>169</v>
      </c>
      <c r="Q127" s="1" t="s">
        <v>188</v>
      </c>
      <c r="S127" s="1" t="s">
        <v>1</v>
      </c>
      <c r="W127" s="1" t="s">
        <v>229</v>
      </c>
      <c r="X127" s="70"/>
      <c r="Y127" s="57"/>
      <c r="Z127" s="90"/>
      <c r="AA127" s="57"/>
      <c r="AB127" s="57"/>
      <c r="AC127" s="57"/>
      <c r="AD127" s="71"/>
    </row>
    <row r="128" spans="5:55" x14ac:dyDescent="0.3">
      <c r="J128" s="1" t="s">
        <v>170</v>
      </c>
      <c r="Q128" s="1" t="s">
        <v>188</v>
      </c>
      <c r="S128" s="1" t="s">
        <v>1</v>
      </c>
      <c r="W128" s="1" t="s">
        <v>204</v>
      </c>
      <c r="X128" s="70"/>
      <c r="Y128" s="57"/>
      <c r="Z128" s="90"/>
      <c r="AA128" s="57"/>
      <c r="AB128" s="57"/>
      <c r="AC128" s="57"/>
      <c r="AD128" s="71"/>
    </row>
    <row r="129" spans="5:55" x14ac:dyDescent="0.3">
      <c r="J129" s="1" t="s">
        <v>171</v>
      </c>
      <c r="Q129" s="1" t="s">
        <v>188</v>
      </c>
      <c r="S129" s="1" t="s">
        <v>2</v>
      </c>
      <c r="W129" s="1" t="s">
        <v>205</v>
      </c>
      <c r="X129" s="94"/>
      <c r="Y129" s="95"/>
      <c r="Z129" s="96"/>
      <c r="AA129" s="95"/>
      <c r="AB129" s="95"/>
      <c r="AC129" s="95"/>
      <c r="AD129" s="97"/>
    </row>
    <row r="130" spans="5:55" x14ac:dyDescent="0.3">
      <c r="J130" s="1" t="s">
        <v>172</v>
      </c>
      <c r="Q130" s="1" t="s">
        <v>188</v>
      </c>
      <c r="S130" s="1" t="s">
        <v>2</v>
      </c>
      <c r="W130" s="1" t="s">
        <v>206</v>
      </c>
      <c r="X130" s="70"/>
      <c r="Y130" s="57"/>
      <c r="Z130" s="90"/>
      <c r="AA130" s="57"/>
      <c r="AB130" s="57"/>
      <c r="AC130" s="57"/>
      <c r="AD130" s="71"/>
      <c r="BC130" s="2" t="s">
        <v>256</v>
      </c>
    </row>
    <row r="131" spans="5:55" x14ac:dyDescent="0.3">
      <c r="J131" s="1" t="s">
        <v>173</v>
      </c>
      <c r="Q131" s="1" t="s">
        <v>188</v>
      </c>
      <c r="S131" s="1" t="s">
        <v>2</v>
      </c>
      <c r="W131" s="1" t="s">
        <v>217</v>
      </c>
      <c r="X131" s="70"/>
      <c r="Y131" s="57"/>
      <c r="Z131" s="90"/>
      <c r="AA131" s="57"/>
      <c r="AB131" s="57"/>
      <c r="AC131" s="57"/>
      <c r="AD131" s="71"/>
    </row>
    <row r="132" spans="5:55" x14ac:dyDescent="0.3">
      <c r="J132" s="1" t="s">
        <v>174</v>
      </c>
      <c r="Q132" s="1" t="s">
        <v>188</v>
      </c>
      <c r="S132" s="1" t="s">
        <v>2</v>
      </c>
      <c r="W132" s="1" t="s">
        <v>5</v>
      </c>
      <c r="X132" s="70"/>
      <c r="Y132" s="57"/>
      <c r="Z132" s="90"/>
      <c r="AA132" s="57"/>
      <c r="AB132" s="57"/>
      <c r="AC132" s="57"/>
      <c r="AD132" s="71"/>
    </row>
    <row r="133" spans="5:55" x14ac:dyDescent="0.3">
      <c r="J133" s="1" t="s">
        <v>175</v>
      </c>
      <c r="Q133" s="1" t="s">
        <v>188</v>
      </c>
      <c r="S133" s="1" t="s">
        <v>2</v>
      </c>
      <c r="W133" s="1" t="s">
        <v>220</v>
      </c>
      <c r="X133" s="70"/>
      <c r="Y133" s="57"/>
      <c r="Z133" s="90"/>
      <c r="AA133" s="57"/>
      <c r="AB133" s="57"/>
      <c r="AC133" s="57"/>
      <c r="AD133" s="71"/>
    </row>
    <row r="134" spans="5:55" x14ac:dyDescent="0.3">
      <c r="J134" s="1" t="s">
        <v>176</v>
      </c>
      <c r="Q134" s="1" t="s">
        <v>188</v>
      </c>
      <c r="S134" s="1" t="s">
        <v>2</v>
      </c>
      <c r="W134" s="1" t="s">
        <v>222</v>
      </c>
      <c r="X134" s="75"/>
      <c r="Y134" s="72"/>
      <c r="Z134" s="91"/>
      <c r="AA134" s="72"/>
      <c r="AB134" s="72"/>
      <c r="AC134" s="72"/>
      <c r="AD134" s="73"/>
    </row>
    <row r="137" spans="5:55" x14ac:dyDescent="0.3">
      <c r="Q137" s="1" t="s">
        <v>189</v>
      </c>
      <c r="W137" s="1" t="s">
        <v>231</v>
      </c>
      <c r="X137" s="76"/>
      <c r="Y137" s="67"/>
      <c r="Z137" s="88"/>
      <c r="AA137" s="67"/>
      <c r="AB137" s="67"/>
      <c r="AC137" s="67"/>
      <c r="AD137" s="77"/>
    </row>
    <row r="140" spans="5:55" x14ac:dyDescent="0.3">
      <c r="E140" s="1" t="s">
        <v>1</v>
      </c>
      <c r="F140" s="1" t="s">
        <v>2</v>
      </c>
      <c r="W140" s="1" t="s">
        <v>236</v>
      </c>
      <c r="AA140" s="68"/>
      <c r="AB140" s="69"/>
      <c r="AC140" s="69"/>
      <c r="AD140" s="74"/>
    </row>
    <row r="141" spans="5:55" x14ac:dyDescent="0.3">
      <c r="W141" s="1" t="s">
        <v>237</v>
      </c>
      <c r="AA141" s="70"/>
      <c r="AB141" s="57"/>
      <c r="AC141" s="57"/>
      <c r="AD141" s="71"/>
    </row>
    <row r="142" spans="5:55" x14ac:dyDescent="0.3">
      <c r="W142" s="1" t="s">
        <v>238</v>
      </c>
      <c r="AA142" s="75"/>
      <c r="AB142" s="72"/>
      <c r="AC142" s="72"/>
      <c r="AD142" s="73"/>
      <c r="BC142" s="2" t="s">
        <v>257</v>
      </c>
    </row>
    <row r="144" spans="5:55" x14ac:dyDescent="0.3">
      <c r="BC144" s="1" t="s">
        <v>258</v>
      </c>
    </row>
    <row r="145" spans="5:55" x14ac:dyDescent="0.3">
      <c r="E145" s="1" t="s">
        <v>1</v>
      </c>
      <c r="H145" s="1" t="s">
        <v>239</v>
      </c>
      <c r="R145" s="1" t="s">
        <v>1028</v>
      </c>
      <c r="W145" s="1" t="s">
        <v>241</v>
      </c>
      <c r="AF145" s="68"/>
      <c r="AG145" s="69"/>
      <c r="AH145" s="69"/>
      <c r="AI145" s="69"/>
      <c r="AJ145" s="69"/>
      <c r="AK145" s="69"/>
      <c r="AL145" s="118"/>
      <c r="AM145" s="69"/>
      <c r="AN145" s="69"/>
      <c r="AO145" s="69"/>
      <c r="AP145" s="69"/>
      <c r="AQ145" s="69"/>
      <c r="AR145" s="69"/>
      <c r="AS145" s="69"/>
      <c r="AT145" s="74"/>
      <c r="AV145" s="68"/>
      <c r="AW145" s="69"/>
      <c r="AX145" s="74"/>
    </row>
    <row r="146" spans="5:55" x14ac:dyDescent="0.3">
      <c r="H146" s="1" t="s">
        <v>242</v>
      </c>
      <c r="W146" s="1" t="s">
        <v>243</v>
      </c>
      <c r="AF146" s="75"/>
      <c r="AG146" s="72"/>
      <c r="AH146" s="72"/>
      <c r="AI146" s="72"/>
      <c r="AJ146" s="72"/>
      <c r="AK146" s="72"/>
      <c r="AL146" s="120"/>
      <c r="AM146" s="72"/>
      <c r="AN146" s="72"/>
      <c r="AO146" s="72"/>
      <c r="AP146" s="72"/>
      <c r="AQ146" s="72"/>
      <c r="AR146" s="72"/>
      <c r="AS146" s="72"/>
      <c r="AT146" s="73"/>
      <c r="AV146" s="70"/>
      <c r="AW146" s="57"/>
      <c r="AX146" s="71"/>
    </row>
    <row r="147" spans="5:55" x14ac:dyDescent="0.3">
      <c r="R147" s="1" t="s">
        <v>914</v>
      </c>
      <c r="W147" s="1" t="s">
        <v>1029</v>
      </c>
      <c r="AF147" s="68"/>
      <c r="AG147" s="69"/>
      <c r="AH147" s="69"/>
      <c r="AI147" s="69"/>
      <c r="AJ147" s="69"/>
      <c r="AK147" s="69"/>
      <c r="AL147" s="118"/>
      <c r="AM147" s="69"/>
      <c r="AN147" s="69"/>
      <c r="AO147" s="69"/>
      <c r="AP147" s="69"/>
      <c r="AQ147" s="69"/>
      <c r="AR147" s="69"/>
      <c r="AS147" s="69"/>
      <c r="AT147" s="74"/>
      <c r="AV147" s="70"/>
      <c r="AW147" s="57"/>
      <c r="AX147" s="71"/>
    </row>
    <row r="148" spans="5:55" x14ac:dyDescent="0.3">
      <c r="W148" s="1" t="s">
        <v>243</v>
      </c>
      <c r="AF148" s="75"/>
      <c r="AG148" s="72"/>
      <c r="AH148" s="72"/>
      <c r="AI148" s="72"/>
      <c r="AJ148" s="72"/>
      <c r="AK148" s="72"/>
      <c r="AL148" s="120"/>
      <c r="AM148" s="72"/>
      <c r="AN148" s="72"/>
      <c r="AO148" s="72"/>
      <c r="AP148" s="72"/>
      <c r="AQ148" s="72"/>
      <c r="AR148" s="72"/>
      <c r="AS148" s="72"/>
      <c r="AT148" s="73"/>
      <c r="AV148" s="75"/>
      <c r="AW148" s="72"/>
      <c r="AX148" s="73"/>
    </row>
    <row r="149" spans="5:55" x14ac:dyDescent="0.3">
      <c r="E149" s="1" t="s">
        <v>1654</v>
      </c>
      <c r="H149" s="1" t="s">
        <v>245</v>
      </c>
      <c r="R149" s="1" t="s">
        <v>246</v>
      </c>
      <c r="W149" s="1" t="s">
        <v>247</v>
      </c>
      <c r="AF149" s="76"/>
      <c r="AG149" s="67"/>
      <c r="AH149" s="67"/>
      <c r="AI149" s="67"/>
      <c r="AJ149" s="67"/>
      <c r="AK149" s="67"/>
      <c r="AL149" s="166"/>
      <c r="AM149" s="67"/>
      <c r="AN149" s="67"/>
      <c r="AO149" s="67"/>
      <c r="AP149" s="67"/>
      <c r="AQ149" s="67"/>
      <c r="AR149" s="67"/>
      <c r="AS149" s="67"/>
      <c r="AT149" s="77"/>
    </row>
    <row r="150" spans="5:55" x14ac:dyDescent="0.3">
      <c r="H150" s="1" t="s">
        <v>249</v>
      </c>
      <c r="W150" s="1" t="s">
        <v>243</v>
      </c>
      <c r="AF150" s="75"/>
      <c r="AG150" s="72"/>
      <c r="AH150" s="72"/>
      <c r="AI150" s="72"/>
      <c r="AJ150" s="72"/>
      <c r="AK150" s="72"/>
      <c r="AL150" s="120"/>
      <c r="AM150" s="72"/>
      <c r="AN150" s="72"/>
      <c r="AO150" s="72"/>
      <c r="AP150" s="72"/>
      <c r="AQ150" s="72"/>
      <c r="AR150" s="72"/>
      <c r="AS150" s="72"/>
      <c r="AT150" s="73"/>
    </row>
    <row r="152" spans="5:55" x14ac:dyDescent="0.3">
      <c r="BC152" s="1" t="s">
        <v>1048</v>
      </c>
    </row>
    <row r="153" spans="5:55" x14ac:dyDescent="0.3">
      <c r="E153" s="1" t="s">
        <v>1</v>
      </c>
      <c r="G153" s="1" t="s">
        <v>139</v>
      </c>
      <c r="H153" s="1" t="s">
        <v>250</v>
      </c>
      <c r="R153" s="1" t="s">
        <v>246</v>
      </c>
      <c r="AF153" s="68"/>
      <c r="AG153" s="69"/>
      <c r="AH153" s="69"/>
      <c r="AI153" s="69"/>
      <c r="AJ153" s="69"/>
      <c r="AK153" s="69"/>
      <c r="AL153" s="118"/>
      <c r="AM153" s="69"/>
      <c r="AN153" s="69"/>
      <c r="AO153" s="69"/>
      <c r="AP153" s="69"/>
      <c r="AQ153" s="69"/>
      <c r="AR153" s="69"/>
      <c r="AS153" s="69"/>
      <c r="AT153" s="74"/>
      <c r="AV153" s="68"/>
      <c r="AW153" s="69"/>
      <c r="AX153" s="74"/>
    </row>
    <row r="154" spans="5:55" x14ac:dyDescent="0.3">
      <c r="G154" s="1" t="s">
        <v>140</v>
      </c>
      <c r="AF154" s="70"/>
      <c r="AG154" s="57"/>
      <c r="AH154" s="57"/>
      <c r="AI154" s="57"/>
      <c r="AJ154" s="57"/>
      <c r="AK154" s="57"/>
      <c r="AL154" s="119"/>
      <c r="AM154" s="57"/>
      <c r="AN154" s="57"/>
      <c r="AO154" s="57"/>
      <c r="AP154" s="57"/>
      <c r="AQ154" s="57"/>
      <c r="AR154" s="57"/>
      <c r="AS154" s="57"/>
      <c r="AT154" s="71"/>
      <c r="AV154" s="70"/>
      <c r="AW154" s="57"/>
      <c r="AX154" s="71"/>
    </row>
    <row r="155" spans="5:55" x14ac:dyDescent="0.3">
      <c r="G155" s="1" t="s">
        <v>141</v>
      </c>
      <c r="AF155" s="70"/>
      <c r="AG155" s="57"/>
      <c r="AH155" s="57"/>
      <c r="AI155" s="57"/>
      <c r="AJ155" s="57"/>
      <c r="AK155" s="57"/>
      <c r="AL155" s="119"/>
      <c r="AM155" s="57"/>
      <c r="AN155" s="57"/>
      <c r="AO155" s="57"/>
      <c r="AP155" s="57"/>
      <c r="AQ155" s="57"/>
      <c r="AR155" s="57"/>
      <c r="AS155" s="57"/>
      <c r="AT155" s="71"/>
      <c r="AV155" s="70"/>
      <c r="AW155" s="57"/>
      <c r="AX155" s="71"/>
    </row>
    <row r="156" spans="5:55" x14ac:dyDescent="0.3">
      <c r="G156" s="1" t="s">
        <v>142</v>
      </c>
      <c r="AF156" s="70"/>
      <c r="AG156" s="57"/>
      <c r="AH156" s="57"/>
      <c r="AI156" s="57"/>
      <c r="AJ156" s="57"/>
      <c r="AK156" s="57"/>
      <c r="AL156" s="119"/>
      <c r="AM156" s="57"/>
      <c r="AN156" s="57"/>
      <c r="AO156" s="57"/>
      <c r="AP156" s="57"/>
      <c r="AQ156" s="57"/>
      <c r="AR156" s="57"/>
      <c r="AS156" s="57"/>
      <c r="AT156" s="71"/>
      <c r="AV156" s="70"/>
      <c r="AW156" s="57"/>
      <c r="AX156" s="71"/>
    </row>
    <row r="157" spans="5:55" x14ac:dyDescent="0.3">
      <c r="G157" s="1" t="s">
        <v>143</v>
      </c>
      <c r="AF157" s="70"/>
      <c r="AG157" s="57"/>
      <c r="AH157" s="57"/>
      <c r="AI157" s="57"/>
      <c r="AJ157" s="57"/>
      <c r="AK157" s="57"/>
      <c r="AL157" s="119"/>
      <c r="AM157" s="57"/>
      <c r="AN157" s="57"/>
      <c r="AO157" s="57"/>
      <c r="AP157" s="57"/>
      <c r="AQ157" s="57"/>
      <c r="AR157" s="57"/>
      <c r="AS157" s="57"/>
      <c r="AT157" s="71"/>
      <c r="AV157" s="70"/>
      <c r="AW157" s="57"/>
      <c r="AX157" s="71"/>
    </row>
    <row r="158" spans="5:55" x14ac:dyDescent="0.3">
      <c r="G158" s="1" t="s">
        <v>144</v>
      </c>
      <c r="AF158" s="70"/>
      <c r="AG158" s="57"/>
      <c r="AH158" s="57"/>
      <c r="AI158" s="57"/>
      <c r="AJ158" s="57"/>
      <c r="AK158" s="57"/>
      <c r="AL158" s="119"/>
      <c r="AM158" s="57"/>
      <c r="AN158" s="57"/>
      <c r="AO158" s="57"/>
      <c r="AP158" s="57"/>
      <c r="AQ158" s="57"/>
      <c r="AR158" s="57"/>
      <c r="AS158" s="57"/>
      <c r="AT158" s="71"/>
      <c r="AV158" s="70"/>
      <c r="AW158" s="57"/>
      <c r="AX158" s="71"/>
    </row>
    <row r="159" spans="5:55" x14ac:dyDescent="0.3">
      <c r="E159" s="1" t="s">
        <v>1654</v>
      </c>
      <c r="G159" s="1" t="s">
        <v>145</v>
      </c>
      <c r="R159" s="1" t="s">
        <v>1655</v>
      </c>
      <c r="AF159" s="75"/>
      <c r="AG159" s="72"/>
      <c r="AH159" s="72"/>
      <c r="AI159" s="72"/>
      <c r="AJ159" s="72"/>
      <c r="AK159" s="72"/>
      <c r="AL159" s="120"/>
      <c r="AM159" s="72"/>
      <c r="AN159" s="72"/>
      <c r="AO159" s="72"/>
      <c r="AP159" s="72"/>
      <c r="AQ159" s="72"/>
      <c r="AR159" s="72"/>
      <c r="AS159" s="72"/>
      <c r="AT159" s="73"/>
      <c r="AV159" s="76"/>
      <c r="AW159" s="67"/>
      <c r="AX159" s="77"/>
    </row>
    <row r="162" spans="5:55" x14ac:dyDescent="0.3">
      <c r="E162" s="1" t="s">
        <v>1654</v>
      </c>
      <c r="H162" s="1" t="s">
        <v>245</v>
      </c>
      <c r="R162" s="1" t="s">
        <v>1655</v>
      </c>
      <c r="W162" s="1" t="s">
        <v>247</v>
      </c>
      <c r="AZ162" s="202"/>
    </row>
    <row r="165" spans="5:55" x14ac:dyDescent="0.3">
      <c r="E165" s="1" t="s">
        <v>1654</v>
      </c>
      <c r="H165" s="1" t="s">
        <v>245</v>
      </c>
      <c r="R165" s="1" t="s">
        <v>1655</v>
      </c>
      <c r="W165" s="1" t="s">
        <v>247</v>
      </c>
      <c r="AZ165" s="202"/>
    </row>
    <row r="168" spans="5:55" x14ac:dyDescent="0.3">
      <c r="I168" s="1" t="s">
        <v>260</v>
      </c>
      <c r="M168" s="1" t="s">
        <v>261</v>
      </c>
      <c r="R168" s="1" t="s">
        <v>1091</v>
      </c>
      <c r="U168" s="38"/>
      <c r="W168" s="1" t="s">
        <v>1636</v>
      </c>
      <c r="AJ168" s="131"/>
      <c r="AK168" s="132"/>
      <c r="AL168" s="164"/>
      <c r="AM168" s="132"/>
      <c r="AN168" s="133"/>
    </row>
    <row r="169" spans="5:55" x14ac:dyDescent="0.3">
      <c r="M169" s="1" t="s">
        <v>263</v>
      </c>
      <c r="R169" s="1" t="s">
        <v>1092</v>
      </c>
      <c r="U169" s="38"/>
      <c r="W169" s="1" t="s">
        <v>1637</v>
      </c>
      <c r="AJ169" s="131"/>
      <c r="AK169" s="132"/>
      <c r="AL169" s="164"/>
      <c r="AM169" s="132"/>
      <c r="AN169" s="133"/>
    </row>
    <row r="170" spans="5:55" x14ac:dyDescent="0.3">
      <c r="M170" s="1" t="s">
        <v>266</v>
      </c>
      <c r="R170" s="1" t="s">
        <v>276</v>
      </c>
      <c r="U170" s="38"/>
      <c r="W170" s="1" t="s">
        <v>1635</v>
      </c>
      <c r="AJ170" s="131"/>
      <c r="AK170" s="132"/>
      <c r="AL170" s="164"/>
      <c r="AM170" s="132"/>
      <c r="AN170" s="133"/>
      <c r="AR170" s="163"/>
      <c r="AS170" s="165"/>
    </row>
    <row r="171" spans="5:55" x14ac:dyDescent="0.3">
      <c r="M171" s="1" t="s">
        <v>269</v>
      </c>
      <c r="R171" s="1" t="s">
        <v>278</v>
      </c>
      <c r="U171" s="38"/>
      <c r="W171" s="1" t="s">
        <v>279</v>
      </c>
      <c r="AJ171" s="158"/>
      <c r="AK171" s="177"/>
      <c r="AL171" s="167"/>
      <c r="AM171" s="177"/>
      <c r="AN171" s="159"/>
      <c r="AR171" s="163"/>
      <c r="AS171" s="165"/>
    </row>
    <row r="172" spans="5:55" x14ac:dyDescent="0.3">
      <c r="M172" s="1" t="s">
        <v>272</v>
      </c>
      <c r="R172" s="1" t="s">
        <v>3</v>
      </c>
      <c r="U172" s="38"/>
      <c r="W172" s="1" t="s">
        <v>262</v>
      </c>
      <c r="AJ172" s="131"/>
      <c r="AK172" s="132"/>
      <c r="AL172" s="164"/>
      <c r="AM172" s="132"/>
      <c r="AN172" s="133"/>
      <c r="AR172" s="168"/>
      <c r="AS172" s="169"/>
    </row>
    <row r="173" spans="5:55" x14ac:dyDescent="0.3">
      <c r="M173" s="1" t="s">
        <v>275</v>
      </c>
      <c r="R173" s="1" t="s">
        <v>273</v>
      </c>
      <c r="U173" s="38"/>
      <c r="W173" s="1" t="s">
        <v>274</v>
      </c>
      <c r="AJ173" s="168"/>
      <c r="AK173" s="167"/>
      <c r="AL173" s="167"/>
      <c r="AM173" s="167"/>
      <c r="AN173" s="169"/>
      <c r="AR173" s="163"/>
      <c r="AS173" s="165"/>
      <c r="BC173" s="2" t="s">
        <v>259</v>
      </c>
    </row>
    <row r="174" spans="5:55" x14ac:dyDescent="0.3">
      <c r="M174" s="1" t="s">
        <v>277</v>
      </c>
      <c r="R174" s="1" t="s">
        <v>270</v>
      </c>
      <c r="U174" s="38"/>
      <c r="W174" s="1" t="s">
        <v>271</v>
      </c>
      <c r="AJ174" s="163"/>
      <c r="AK174" s="164"/>
      <c r="AL174" s="164"/>
      <c r="AM174" s="164"/>
      <c r="AN174" s="165"/>
      <c r="AR174" s="163"/>
      <c r="AS174" s="165"/>
    </row>
    <row r="175" spans="5:55" x14ac:dyDescent="0.3">
      <c r="M175" s="1" t="s">
        <v>280</v>
      </c>
      <c r="R175" s="1" t="s">
        <v>281</v>
      </c>
      <c r="U175" s="38"/>
      <c r="W175" s="1" t="s">
        <v>282</v>
      </c>
      <c r="AR175" s="163"/>
      <c r="AS175" s="182"/>
    </row>
    <row r="176" spans="5:55" x14ac:dyDescent="0.3">
      <c r="M176" s="1" t="s">
        <v>283</v>
      </c>
      <c r="R176" s="1" t="s">
        <v>284</v>
      </c>
      <c r="U176" s="38"/>
      <c r="W176" s="1" t="s">
        <v>285</v>
      </c>
      <c r="AR176" s="163"/>
      <c r="AS176" s="182"/>
    </row>
    <row r="177" spans="5:73" x14ac:dyDescent="0.3">
      <c r="M177" s="1" t="s">
        <v>286</v>
      </c>
      <c r="R177" s="1" t="s">
        <v>287</v>
      </c>
      <c r="U177" s="38"/>
      <c r="W177" s="1" t="s">
        <v>288</v>
      </c>
      <c r="AR177" s="163"/>
      <c r="AS177" s="165"/>
    </row>
    <row r="178" spans="5:73" x14ac:dyDescent="0.3">
      <c r="M178" s="1" t="s">
        <v>289</v>
      </c>
      <c r="R178" s="1" t="s">
        <v>290</v>
      </c>
      <c r="U178" s="38"/>
      <c r="W178" s="1" t="s">
        <v>291</v>
      </c>
      <c r="AR178" s="168"/>
      <c r="AS178" s="183"/>
    </row>
    <row r="179" spans="5:73" x14ac:dyDescent="0.3">
      <c r="M179" s="1" t="s">
        <v>292</v>
      </c>
      <c r="R179" s="1" t="s">
        <v>293</v>
      </c>
      <c r="U179" s="38"/>
      <c r="W179" s="1" t="s">
        <v>294</v>
      </c>
      <c r="AR179" s="163"/>
      <c r="AS179" s="165"/>
    </row>
    <row r="180" spans="5:73" x14ac:dyDescent="0.3">
      <c r="U180" s="38"/>
    </row>
    <row r="181" spans="5:73" x14ac:dyDescent="0.3">
      <c r="U181" s="38"/>
    </row>
    <row r="182" spans="5:73" x14ac:dyDescent="0.3">
      <c r="E182" s="1" t="s">
        <v>1</v>
      </c>
      <c r="M182" s="1" t="s">
        <v>297</v>
      </c>
      <c r="R182" s="1" t="s">
        <v>264</v>
      </c>
      <c r="U182" s="38"/>
      <c r="W182" s="1" t="s">
        <v>265</v>
      </c>
      <c r="AJ182" s="163"/>
      <c r="AK182" s="164"/>
      <c r="AL182" s="164"/>
      <c r="AM182" s="164"/>
      <c r="AN182" s="165"/>
    </row>
    <row r="183" spans="5:73" x14ac:dyDescent="0.3">
      <c r="M183" s="1" t="s">
        <v>300</v>
      </c>
      <c r="R183" s="1" t="s">
        <v>267</v>
      </c>
      <c r="U183" s="38"/>
      <c r="W183" s="1" t="s">
        <v>268</v>
      </c>
      <c r="AJ183" s="160"/>
      <c r="AK183" s="161"/>
      <c r="AL183" s="161"/>
      <c r="AM183" s="161"/>
      <c r="AN183" s="162"/>
    </row>
    <row r="184" spans="5:73" x14ac:dyDescent="0.3">
      <c r="U184" s="38"/>
      <c r="BC184" s="2" t="s">
        <v>1047</v>
      </c>
      <c r="BN184" s="153" t="s">
        <v>62</v>
      </c>
      <c r="BO184" s="58"/>
      <c r="BP184" s="58"/>
      <c r="BQ184" s="58"/>
      <c r="BR184" s="58"/>
      <c r="BS184" s="58"/>
      <c r="BT184" s="58"/>
      <c r="BU184" s="59"/>
    </row>
    <row r="185" spans="5:73" x14ac:dyDescent="0.3">
      <c r="U185" s="38"/>
      <c r="BN185" s="61"/>
      <c r="BO185" s="37"/>
      <c r="BU185" s="60"/>
    </row>
    <row r="186" spans="5:73" x14ac:dyDescent="0.3">
      <c r="E186" s="1" t="s">
        <v>1</v>
      </c>
      <c r="I186" s="1" t="s">
        <v>260</v>
      </c>
      <c r="M186" s="1" t="s">
        <v>1628</v>
      </c>
      <c r="R186" s="1" t="s">
        <v>298</v>
      </c>
      <c r="U186" s="38"/>
      <c r="W186" s="1" t="s">
        <v>299</v>
      </c>
      <c r="AJ186" s="163"/>
      <c r="AK186" s="164"/>
      <c r="AL186" s="164"/>
      <c r="AM186" s="164"/>
      <c r="AN186" s="165"/>
      <c r="AR186" s="163"/>
      <c r="AS186" s="165"/>
      <c r="BN186" s="61"/>
      <c r="BQ186" s="1" t="s">
        <v>295</v>
      </c>
      <c r="BR186" s="1" t="s">
        <v>243</v>
      </c>
      <c r="BS186" s="1" t="s">
        <v>296</v>
      </c>
      <c r="BU186" s="60"/>
    </row>
    <row r="187" spans="5:73" x14ac:dyDescent="0.3">
      <c r="M187" s="1" t="s">
        <v>1649</v>
      </c>
      <c r="R187" s="1" t="s">
        <v>301</v>
      </c>
      <c r="U187" s="38"/>
      <c r="W187" s="1" t="s">
        <v>302</v>
      </c>
      <c r="AJ187" s="163"/>
      <c r="AK187" s="164"/>
      <c r="AL187" s="164"/>
      <c r="AM187" s="164"/>
      <c r="AN187" s="165"/>
      <c r="AR187" s="163"/>
      <c r="AS187" s="165"/>
      <c r="BN187" s="61"/>
      <c r="BP187" s="1" t="s">
        <v>295</v>
      </c>
      <c r="BQ187" s="154"/>
      <c r="BR187" s="154"/>
      <c r="BS187" s="154"/>
      <c r="BU187" s="60"/>
    </row>
    <row r="188" spans="5:73" x14ac:dyDescent="0.3">
      <c r="BN188" s="61"/>
      <c r="BQ188" s="154"/>
      <c r="BR188" s="154"/>
      <c r="BS188" s="154"/>
      <c r="BU188" s="60"/>
    </row>
    <row r="189" spans="5:73" x14ac:dyDescent="0.3">
      <c r="BN189" s="61"/>
      <c r="BP189" s="1" t="s">
        <v>243</v>
      </c>
      <c r="BQ189" s="154"/>
      <c r="BR189" s="154"/>
      <c r="BS189" s="154"/>
      <c r="BU189" s="60"/>
    </row>
    <row r="190" spans="5:73" x14ac:dyDescent="0.3">
      <c r="M190" s="1" t="s">
        <v>1650</v>
      </c>
      <c r="R190" s="1" t="s">
        <v>303</v>
      </c>
      <c r="U190" s="38"/>
      <c r="W190" s="1" t="s">
        <v>236</v>
      </c>
      <c r="AL190" s="134"/>
      <c r="AM190" s="135"/>
      <c r="AN190" s="136"/>
      <c r="AR190" s="170"/>
      <c r="AS190" s="171"/>
      <c r="BN190" s="61"/>
      <c r="BP190" s="1" t="s">
        <v>296</v>
      </c>
      <c r="BQ190" s="154"/>
      <c r="BR190" s="154"/>
      <c r="BS190" s="154"/>
      <c r="BU190" s="60"/>
    </row>
    <row r="191" spans="5:73" x14ac:dyDescent="0.3">
      <c r="U191" s="38"/>
      <c r="W191" s="1" t="s">
        <v>304</v>
      </c>
      <c r="AL191" s="158"/>
      <c r="AM191" s="177"/>
      <c r="AN191" s="159"/>
      <c r="AR191" s="168"/>
      <c r="AS191" s="169"/>
      <c r="BN191" s="61"/>
      <c r="BU191" s="60"/>
    </row>
    <row r="192" spans="5:73" x14ac:dyDescent="0.3">
      <c r="U192" s="38"/>
      <c r="W192" s="1" t="s">
        <v>238</v>
      </c>
      <c r="AL192" s="160"/>
      <c r="AM192" s="161"/>
      <c r="AN192" s="162"/>
      <c r="AR192" s="160"/>
      <c r="AS192" s="162"/>
      <c r="BN192" s="61"/>
      <c r="BU192" s="60"/>
    </row>
    <row r="193" spans="5:73" x14ac:dyDescent="0.3">
      <c r="AJ193" s="55"/>
      <c r="AK193" s="55"/>
      <c r="AM193" s="55"/>
      <c r="AN193" s="55"/>
      <c r="BN193" s="61"/>
      <c r="BQ193" s="1" t="s">
        <v>295</v>
      </c>
      <c r="BR193" s="1" t="s">
        <v>243</v>
      </c>
      <c r="BS193" s="1" t="s">
        <v>296</v>
      </c>
      <c r="BU193" s="60"/>
    </row>
    <row r="194" spans="5:73" x14ac:dyDescent="0.3">
      <c r="BN194" s="62"/>
      <c r="BO194" s="63"/>
      <c r="BP194" s="63"/>
      <c r="BQ194" s="155">
        <v>1</v>
      </c>
      <c r="BR194" s="155" t="s">
        <v>243</v>
      </c>
      <c r="BS194" s="155" t="s">
        <v>305</v>
      </c>
      <c r="BT194" s="63"/>
      <c r="BU194" s="156"/>
    </row>
    <row r="195" spans="5:73" x14ac:dyDescent="0.3">
      <c r="E195" s="1" t="s">
        <v>1</v>
      </c>
      <c r="I195" s="1" t="s">
        <v>260</v>
      </c>
      <c r="K195" s="1" t="s">
        <v>307</v>
      </c>
      <c r="R195" s="1" t="s">
        <v>308</v>
      </c>
      <c r="U195" s="38"/>
      <c r="W195" s="1" t="s">
        <v>309</v>
      </c>
      <c r="AJ195" s="64"/>
      <c r="AK195" s="65"/>
      <c r="AL195" s="65"/>
      <c r="AM195" s="65"/>
      <c r="AN195" s="66"/>
      <c r="AR195" s="80"/>
      <c r="AS195" s="82"/>
    </row>
    <row r="196" spans="5:73" x14ac:dyDescent="0.3">
      <c r="K196" s="1" t="s">
        <v>310</v>
      </c>
      <c r="R196" s="1" t="s">
        <v>311</v>
      </c>
      <c r="U196" s="38"/>
      <c r="W196" s="1" t="s">
        <v>312</v>
      </c>
      <c r="AJ196" s="70"/>
      <c r="AK196" s="57"/>
      <c r="AL196" s="57"/>
      <c r="AM196" s="57"/>
      <c r="AN196" s="71"/>
      <c r="AR196" s="76"/>
      <c r="AS196" s="77"/>
    </row>
    <row r="197" spans="5:73" x14ac:dyDescent="0.3">
      <c r="K197" s="1" t="s">
        <v>313</v>
      </c>
      <c r="R197" s="1" t="s">
        <v>314</v>
      </c>
      <c r="U197" s="38"/>
      <c r="W197" s="1" t="s">
        <v>315</v>
      </c>
      <c r="AJ197" s="76"/>
      <c r="AK197" s="67"/>
      <c r="AL197" s="67"/>
      <c r="AM197" s="67"/>
      <c r="AN197" s="77"/>
      <c r="AR197" s="70"/>
      <c r="AS197" s="71"/>
      <c r="BC197" s="2" t="s">
        <v>306</v>
      </c>
      <c r="BN197" s="153" t="s">
        <v>56</v>
      </c>
      <c r="BO197" s="58"/>
      <c r="BP197" s="58"/>
      <c r="BQ197" s="58"/>
      <c r="BR197" s="58"/>
      <c r="BS197" s="58"/>
      <c r="BT197" s="58"/>
      <c r="BU197" s="59"/>
    </row>
    <row r="198" spans="5:73" x14ac:dyDescent="0.3">
      <c r="K198" s="1" t="s">
        <v>316</v>
      </c>
      <c r="R198" s="1" t="s">
        <v>317</v>
      </c>
      <c r="U198" s="38"/>
      <c r="W198" s="1" t="s">
        <v>318</v>
      </c>
      <c r="AJ198" s="70"/>
      <c r="AK198" s="57"/>
      <c r="AL198" s="57"/>
      <c r="AM198" s="57"/>
      <c r="AN198" s="71"/>
      <c r="AR198" s="76"/>
      <c r="AS198" s="77"/>
      <c r="BN198" s="61"/>
      <c r="BO198" s="37"/>
      <c r="BU198" s="60"/>
    </row>
    <row r="199" spans="5:73" x14ac:dyDescent="0.3">
      <c r="K199" s="1" t="s">
        <v>319</v>
      </c>
      <c r="R199" s="1" t="s">
        <v>320</v>
      </c>
      <c r="U199" s="38"/>
      <c r="W199" s="1" t="s">
        <v>321</v>
      </c>
      <c r="AJ199" s="76"/>
      <c r="AK199" s="67"/>
      <c r="AL199" s="67"/>
      <c r="AM199" s="67"/>
      <c r="AN199" s="77"/>
      <c r="AR199" s="70"/>
      <c r="AS199" s="71"/>
      <c r="BN199" s="61"/>
      <c r="BQ199" s="1" t="s">
        <v>236</v>
      </c>
      <c r="BR199" s="1" t="s">
        <v>243</v>
      </c>
      <c r="BS199" s="1" t="s">
        <v>238</v>
      </c>
      <c r="BU199" s="60"/>
    </row>
    <row r="200" spans="5:73" ht="14.5" customHeight="1" x14ac:dyDescent="0.3">
      <c r="K200" s="1" t="s">
        <v>322</v>
      </c>
      <c r="R200" s="1" t="s">
        <v>270</v>
      </c>
      <c r="U200" s="38"/>
      <c r="W200" s="1" t="s">
        <v>8</v>
      </c>
      <c r="AJ200" s="75"/>
      <c r="AK200" s="72"/>
      <c r="AL200" s="166"/>
      <c r="AM200" s="72"/>
      <c r="AN200" s="73"/>
      <c r="AR200" s="76"/>
      <c r="AS200" s="181"/>
      <c r="BN200" s="61"/>
      <c r="BP200" s="1" t="s">
        <v>236</v>
      </c>
      <c r="BQ200" s="154"/>
      <c r="BR200" s="154"/>
      <c r="BS200" s="154"/>
      <c r="BU200" s="60"/>
    </row>
    <row r="201" spans="5:73" ht="14.5" customHeight="1" x14ac:dyDescent="0.3">
      <c r="BN201" s="61"/>
      <c r="BQ201" s="154"/>
      <c r="BR201" s="154"/>
      <c r="BS201" s="154"/>
      <c r="BU201" s="60"/>
    </row>
    <row r="202" spans="5:73" x14ac:dyDescent="0.3">
      <c r="BN202" s="61"/>
      <c r="BP202" s="1" t="s">
        <v>243</v>
      </c>
      <c r="BQ202" s="154"/>
      <c r="BR202" s="154"/>
      <c r="BS202" s="154"/>
      <c r="BU202" s="60"/>
    </row>
    <row r="203" spans="5:73" x14ac:dyDescent="0.3">
      <c r="E203" s="1" t="s">
        <v>1</v>
      </c>
      <c r="N203" s="1" t="s">
        <v>324</v>
      </c>
      <c r="W203" s="1" t="s">
        <v>6</v>
      </c>
      <c r="AZ203" s="190"/>
      <c r="BN203" s="61"/>
      <c r="BP203" s="1" t="s">
        <v>238</v>
      </c>
      <c r="BQ203" s="154"/>
      <c r="BR203" s="154"/>
      <c r="BS203" s="154"/>
      <c r="BU203" s="60"/>
    </row>
    <row r="204" spans="5:73" x14ac:dyDescent="0.3">
      <c r="N204" s="1" t="s">
        <v>325</v>
      </c>
      <c r="W204" s="1" t="s">
        <v>7</v>
      </c>
      <c r="AR204" s="172"/>
      <c r="AS204" s="172"/>
      <c r="AZ204" s="189"/>
      <c r="BC204" s="2" t="s">
        <v>323</v>
      </c>
      <c r="BN204" s="61"/>
      <c r="BU204" s="60"/>
    </row>
    <row r="205" spans="5:73" x14ac:dyDescent="0.3">
      <c r="BN205" s="61"/>
      <c r="BU205" s="60"/>
    </row>
    <row r="206" spans="5:73" x14ac:dyDescent="0.3">
      <c r="BN206" s="61"/>
      <c r="BQ206" s="1" t="s">
        <v>236</v>
      </c>
      <c r="BR206" s="1" t="s">
        <v>243</v>
      </c>
      <c r="BS206" s="1" t="s">
        <v>238</v>
      </c>
      <c r="BU206" s="60"/>
    </row>
    <row r="207" spans="5:73" x14ac:dyDescent="0.3">
      <c r="E207" s="1" t="s">
        <v>1</v>
      </c>
      <c r="I207" s="1" t="s">
        <v>260</v>
      </c>
      <c r="L207" s="1" t="s">
        <v>326</v>
      </c>
      <c r="V207" s="1" t="s">
        <v>327</v>
      </c>
      <c r="W207" s="1" t="s">
        <v>333</v>
      </c>
      <c r="AF207" s="172"/>
      <c r="AG207" s="172"/>
      <c r="AH207" s="172"/>
      <c r="AI207" s="172"/>
      <c r="AJ207" s="173"/>
      <c r="AK207" s="174"/>
      <c r="AL207" s="174"/>
      <c r="AM207" s="174"/>
      <c r="AN207" s="175"/>
      <c r="AO207" s="172"/>
      <c r="AP207" s="172"/>
      <c r="AQ207" s="172"/>
      <c r="AR207" s="173"/>
      <c r="AS207" s="175"/>
      <c r="AT207" s="172"/>
      <c r="BN207" s="62"/>
      <c r="BO207" s="63"/>
      <c r="BP207" s="63"/>
      <c r="BQ207" s="155">
        <v>1</v>
      </c>
      <c r="BR207" s="155" t="s">
        <v>243</v>
      </c>
      <c r="BS207" s="155" t="s">
        <v>305</v>
      </c>
      <c r="BT207" s="63"/>
      <c r="BU207" s="156"/>
    </row>
    <row r="208" spans="5:73" x14ac:dyDescent="0.3">
      <c r="AF208" s="172"/>
      <c r="AG208" s="172"/>
      <c r="AH208" s="172"/>
      <c r="AI208" s="172"/>
      <c r="AT208" s="172"/>
    </row>
    <row r="209" spans="5:46" x14ac:dyDescent="0.3">
      <c r="E209" s="1" t="s">
        <v>1</v>
      </c>
      <c r="L209" s="1" t="s">
        <v>328</v>
      </c>
      <c r="Q209" s="1" t="s">
        <v>189</v>
      </c>
      <c r="V209" s="1" t="s">
        <v>231</v>
      </c>
      <c r="W209" s="1" t="s">
        <v>1652</v>
      </c>
      <c r="X209" s="163"/>
      <c r="Y209" s="164"/>
      <c r="Z209" s="164"/>
      <c r="AA209" s="164"/>
      <c r="AB209" s="164"/>
      <c r="AC209" s="164"/>
      <c r="AD209" s="165"/>
      <c r="AF209" s="172"/>
      <c r="AG209" s="172"/>
      <c r="AH209" s="172"/>
      <c r="AI209" s="172"/>
      <c r="AJ209" s="172"/>
      <c r="AK209" s="172"/>
      <c r="AL209" s="172"/>
      <c r="AM209" s="172"/>
      <c r="AN209" s="172"/>
      <c r="AO209" s="172"/>
      <c r="AP209" s="172"/>
      <c r="AQ209" s="172"/>
      <c r="AR209" s="172"/>
      <c r="AS209" s="172"/>
      <c r="AT209" s="172"/>
    </row>
    <row r="210" spans="5:46" x14ac:dyDescent="0.3">
      <c r="AF210" s="172"/>
      <c r="AG210" s="172"/>
      <c r="AH210" s="172"/>
      <c r="AI210" s="172"/>
      <c r="AJ210" s="172"/>
      <c r="AK210" s="172"/>
      <c r="AL210" s="172"/>
      <c r="AM210" s="172"/>
      <c r="AN210" s="172"/>
      <c r="AO210" s="172"/>
      <c r="AP210" s="172"/>
      <c r="AQ210" s="172"/>
      <c r="AR210" s="172"/>
      <c r="AS210" s="172"/>
      <c r="AT210" s="172"/>
    </row>
    <row r="211" spans="5:46" x14ac:dyDescent="0.3">
      <c r="E211" s="1" t="s">
        <v>1</v>
      </c>
      <c r="I211" s="1" t="s">
        <v>260</v>
      </c>
      <c r="L211" s="1" t="s">
        <v>1032</v>
      </c>
      <c r="V211" s="1" t="s">
        <v>1056</v>
      </c>
      <c r="W211" s="1" t="s">
        <v>1629</v>
      </c>
      <c r="AF211" s="172"/>
      <c r="AG211" s="172"/>
      <c r="AH211" s="172"/>
      <c r="AI211" s="172"/>
      <c r="AJ211" s="173"/>
      <c r="AK211" s="174"/>
      <c r="AL211" s="174"/>
      <c r="AM211" s="174"/>
      <c r="AN211" s="175"/>
      <c r="AO211" s="172"/>
      <c r="AP211" s="172"/>
      <c r="AQ211" s="172"/>
      <c r="AR211" s="173"/>
      <c r="AS211" s="175"/>
      <c r="AT211" s="172"/>
    </row>
    <row r="212" spans="5:46" x14ac:dyDescent="0.3">
      <c r="AF212" s="172"/>
      <c r="AG212" s="172"/>
      <c r="AH212" s="172"/>
      <c r="AI212" s="172"/>
      <c r="AJ212" s="172"/>
      <c r="AK212" s="172"/>
      <c r="AL212" s="172"/>
      <c r="AM212" s="172"/>
      <c r="AN212" s="172"/>
      <c r="AO212" s="172"/>
      <c r="AP212" s="172"/>
      <c r="AQ212" s="172"/>
      <c r="AR212" s="172"/>
      <c r="AS212" s="172"/>
      <c r="AT212" s="172"/>
    </row>
    <row r="213" spans="5:46" x14ac:dyDescent="0.3">
      <c r="E213" s="1" t="s">
        <v>1</v>
      </c>
      <c r="L213" s="1" t="s">
        <v>1046</v>
      </c>
      <c r="V213" s="1" t="s">
        <v>1051</v>
      </c>
      <c r="W213" s="1" t="s">
        <v>1630</v>
      </c>
      <c r="AF213" s="173"/>
      <c r="AG213" s="174"/>
      <c r="AH213" s="174"/>
      <c r="AI213" s="174"/>
      <c r="AJ213" s="174"/>
      <c r="AK213" s="174"/>
      <c r="AL213" s="174"/>
      <c r="AM213" s="174"/>
      <c r="AN213" s="174"/>
      <c r="AO213" s="174"/>
      <c r="AP213" s="174"/>
      <c r="AQ213" s="174"/>
      <c r="AR213" s="174"/>
      <c r="AS213" s="174"/>
      <c r="AT213" s="175"/>
    </row>
    <row r="214" spans="5:46" x14ac:dyDescent="0.3">
      <c r="AF214" s="172"/>
      <c r="AG214" s="172"/>
      <c r="AH214" s="172"/>
      <c r="AI214" s="172"/>
      <c r="AJ214" s="172"/>
      <c r="AK214" s="172"/>
      <c r="AL214" s="172"/>
      <c r="AM214" s="172"/>
      <c r="AN214" s="172"/>
      <c r="AO214" s="172"/>
      <c r="AP214" s="172"/>
      <c r="AQ214" s="172"/>
      <c r="AR214" s="172"/>
      <c r="AS214" s="172"/>
      <c r="AT214" s="172"/>
    </row>
    <row r="215" spans="5:46" x14ac:dyDescent="0.3">
      <c r="AF215" s="172"/>
      <c r="AG215" s="172"/>
      <c r="AH215" s="172"/>
      <c r="AI215" s="172"/>
      <c r="AJ215" s="172"/>
      <c r="AK215" s="172"/>
      <c r="AL215" s="172"/>
      <c r="AM215" s="172"/>
      <c r="AN215" s="172"/>
      <c r="AO215" s="172"/>
      <c r="AP215" s="172"/>
      <c r="AQ215" s="172"/>
      <c r="AR215" s="172"/>
      <c r="AS215" s="172"/>
      <c r="AT215" s="172"/>
    </row>
    <row r="216" spans="5:46" x14ac:dyDescent="0.3">
      <c r="E216" s="1" t="s">
        <v>1</v>
      </c>
      <c r="H216" s="1" t="s">
        <v>239</v>
      </c>
      <c r="L216" s="1" t="s">
        <v>1634</v>
      </c>
      <c r="R216" s="1" t="s">
        <v>1028</v>
      </c>
      <c r="V216" s="1" t="s">
        <v>329</v>
      </c>
      <c r="W216" s="1" t="s">
        <v>241</v>
      </c>
      <c r="AF216" s="138"/>
      <c r="AG216" s="139"/>
      <c r="AH216" s="139"/>
      <c r="AI216" s="139"/>
      <c r="AJ216" s="139"/>
      <c r="AK216" s="139"/>
      <c r="AL216" s="139"/>
      <c r="AM216" s="139"/>
      <c r="AN216" s="139"/>
      <c r="AO216" s="139"/>
      <c r="AP216" s="139"/>
      <c r="AQ216" s="139"/>
      <c r="AR216" s="139"/>
      <c r="AS216" s="139"/>
      <c r="AT216" s="140"/>
    </row>
    <row r="217" spans="5:46" x14ac:dyDescent="0.3">
      <c r="H217" s="1" t="s">
        <v>242</v>
      </c>
      <c r="W217" s="1" t="s">
        <v>243</v>
      </c>
      <c r="AF217" s="142"/>
      <c r="AG217" s="143"/>
      <c r="AH217" s="143"/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  <c r="AS217" s="143"/>
      <c r="AT217" s="144"/>
    </row>
    <row r="218" spans="5:46" x14ac:dyDescent="0.3">
      <c r="H218" s="1" t="s">
        <v>245</v>
      </c>
      <c r="R218" s="1" t="s">
        <v>246</v>
      </c>
      <c r="W218" s="1" t="s">
        <v>247</v>
      </c>
      <c r="AF218" s="137"/>
      <c r="AG218" s="176"/>
      <c r="AH218" s="176"/>
      <c r="AI218" s="176"/>
      <c r="AJ218" s="176"/>
      <c r="AK218" s="176"/>
      <c r="AL218" s="176"/>
      <c r="AM218" s="176"/>
      <c r="AN218" s="176"/>
      <c r="AO218" s="176"/>
      <c r="AP218" s="176"/>
      <c r="AQ218" s="176"/>
      <c r="AR218" s="176"/>
      <c r="AS218" s="176"/>
      <c r="AT218" s="141"/>
    </row>
    <row r="219" spans="5:46" x14ac:dyDescent="0.3">
      <c r="H219" s="1" t="s">
        <v>249</v>
      </c>
      <c r="W219" s="1" t="s">
        <v>243</v>
      </c>
      <c r="AF219" s="142"/>
      <c r="AG219" s="143"/>
      <c r="AH219" s="143"/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  <c r="AS219" s="143"/>
      <c r="AT219" s="144"/>
    </row>
    <row r="220" spans="5:46" x14ac:dyDescent="0.3">
      <c r="AF220" s="172"/>
      <c r="AG220" s="172"/>
      <c r="AH220" s="172"/>
      <c r="AI220" s="172"/>
      <c r="AJ220" s="172"/>
      <c r="AK220" s="172"/>
      <c r="AL220" s="172"/>
      <c r="AM220" s="172"/>
      <c r="AN220" s="172"/>
      <c r="AO220" s="172"/>
      <c r="AP220" s="172"/>
      <c r="AQ220" s="172"/>
      <c r="AR220" s="172"/>
      <c r="AS220" s="172"/>
      <c r="AT220" s="172"/>
    </row>
    <row r="221" spans="5:46" x14ac:dyDescent="0.3">
      <c r="E221" s="1" t="s">
        <v>1</v>
      </c>
      <c r="L221" s="1" t="s">
        <v>328</v>
      </c>
      <c r="Q221" s="1" t="s">
        <v>189</v>
      </c>
      <c r="V221" s="1" t="s">
        <v>231</v>
      </c>
      <c r="W221" s="1" t="s">
        <v>1652</v>
      </c>
      <c r="X221" s="76"/>
      <c r="Y221" s="67"/>
      <c r="Z221" s="67"/>
      <c r="AA221" s="67"/>
      <c r="AB221" s="67"/>
      <c r="AC221" s="67"/>
      <c r="AD221" s="77"/>
      <c r="AF221" s="172"/>
      <c r="AG221" s="172"/>
      <c r="AH221" s="172"/>
      <c r="AI221" s="172"/>
      <c r="AJ221" s="172"/>
      <c r="AK221" s="172"/>
      <c r="AL221" s="172"/>
      <c r="AM221" s="172"/>
      <c r="AN221" s="172"/>
      <c r="AO221" s="172"/>
      <c r="AP221" s="172"/>
      <c r="AQ221" s="172"/>
      <c r="AR221" s="172"/>
      <c r="AS221" s="172"/>
      <c r="AT221" s="172"/>
    </row>
    <row r="222" spans="5:46" x14ac:dyDescent="0.3">
      <c r="AF222" s="172"/>
      <c r="AG222" s="172"/>
      <c r="AH222" s="172"/>
      <c r="AI222" s="172"/>
      <c r="AJ222" s="172"/>
      <c r="AK222" s="172"/>
      <c r="AL222" s="172"/>
      <c r="AM222" s="172"/>
      <c r="AN222" s="172"/>
      <c r="AO222" s="172"/>
      <c r="AP222" s="172"/>
      <c r="AQ222" s="172"/>
      <c r="AR222" s="172"/>
      <c r="AS222" s="172"/>
      <c r="AT222" s="172"/>
    </row>
    <row r="223" spans="5:46" x14ac:dyDescent="0.3">
      <c r="AF223" s="172"/>
      <c r="AG223" s="172"/>
      <c r="AH223" s="172"/>
      <c r="AI223" s="172"/>
      <c r="AJ223" s="172"/>
      <c r="AK223" s="172"/>
      <c r="AL223" s="172"/>
      <c r="AM223" s="172"/>
      <c r="AN223" s="172"/>
      <c r="AO223" s="172"/>
      <c r="AP223" s="172"/>
      <c r="AQ223" s="172"/>
      <c r="AR223" s="172"/>
      <c r="AS223" s="172"/>
      <c r="AT223" s="172"/>
    </row>
    <row r="224" spans="5:46" x14ac:dyDescent="0.3">
      <c r="E224" s="1" t="s">
        <v>1</v>
      </c>
      <c r="L224" s="1" t="s">
        <v>328</v>
      </c>
      <c r="V224" s="1" t="s">
        <v>231</v>
      </c>
      <c r="W224" s="1" t="s">
        <v>1652</v>
      </c>
      <c r="X224" s="76"/>
      <c r="Y224" s="67"/>
      <c r="Z224" s="67"/>
      <c r="AA224" s="67"/>
      <c r="AB224" s="67"/>
      <c r="AC224" s="67"/>
      <c r="AD224" s="77"/>
      <c r="AF224" s="172"/>
      <c r="AG224" s="172"/>
      <c r="AH224" s="172"/>
      <c r="AI224" s="172"/>
      <c r="AJ224" s="172"/>
      <c r="AK224" s="172"/>
      <c r="AL224" s="172"/>
      <c r="AM224" s="172"/>
      <c r="AN224" s="172"/>
      <c r="AO224" s="172"/>
      <c r="AP224" s="172"/>
      <c r="AQ224" s="172"/>
      <c r="AR224" s="172"/>
      <c r="AS224" s="172"/>
      <c r="AT224" s="172"/>
    </row>
    <row r="225" spans="5:55" x14ac:dyDescent="0.3">
      <c r="L225" s="1" t="s">
        <v>330</v>
      </c>
      <c r="V225" s="1" t="s">
        <v>1043</v>
      </c>
      <c r="W225" s="1" t="s">
        <v>1651</v>
      </c>
      <c r="X225" s="76"/>
      <c r="Y225" s="67"/>
      <c r="Z225" s="67"/>
      <c r="AA225" s="67"/>
      <c r="AB225" s="67"/>
      <c r="AC225" s="67"/>
      <c r="AD225" s="77"/>
      <c r="AF225" s="172"/>
      <c r="AG225" s="172"/>
      <c r="AH225" s="172"/>
      <c r="AI225" s="172"/>
      <c r="AJ225" s="172"/>
      <c r="AK225" s="172"/>
      <c r="AL225" s="172"/>
      <c r="AM225" s="172"/>
      <c r="AN225" s="172"/>
      <c r="AO225" s="172"/>
      <c r="AP225" s="172"/>
      <c r="AQ225" s="172"/>
      <c r="AR225" s="172"/>
      <c r="AS225" s="172"/>
      <c r="AT225" s="172"/>
    </row>
    <row r="227" spans="5:55" x14ac:dyDescent="0.3">
      <c r="AF227" s="172"/>
      <c r="AG227" s="172"/>
      <c r="AH227" s="172"/>
      <c r="AI227" s="172"/>
      <c r="AJ227" s="172"/>
      <c r="AK227" s="172"/>
      <c r="AL227" s="172"/>
      <c r="AM227" s="172"/>
      <c r="AN227" s="172"/>
      <c r="AO227" s="172"/>
      <c r="AP227" s="172"/>
      <c r="AQ227" s="172"/>
      <c r="AR227" s="172"/>
      <c r="AS227" s="172"/>
      <c r="AT227" s="172"/>
    </row>
    <row r="228" spans="5:55" x14ac:dyDescent="0.3">
      <c r="E228" s="1" t="s">
        <v>1</v>
      </c>
      <c r="H228" s="1" t="s">
        <v>239</v>
      </c>
      <c r="R228" s="1" t="s">
        <v>1028</v>
      </c>
      <c r="V228" s="1" t="s">
        <v>329</v>
      </c>
      <c r="W228" s="1" t="s">
        <v>241</v>
      </c>
      <c r="AF228" s="151"/>
      <c r="AG228" s="150"/>
      <c r="AH228" s="150"/>
      <c r="AI228" s="150"/>
      <c r="AJ228" s="69"/>
      <c r="AK228" s="69"/>
      <c r="AL228" s="69"/>
      <c r="AM228" s="69"/>
      <c r="AN228" s="69"/>
      <c r="AO228" s="150"/>
      <c r="AP228" s="150"/>
      <c r="AQ228" s="150"/>
      <c r="AR228" s="150"/>
      <c r="AS228" s="150"/>
      <c r="AT228" s="152"/>
      <c r="BC228" s="2" t="s">
        <v>332</v>
      </c>
    </row>
    <row r="229" spans="5:55" x14ac:dyDescent="0.3">
      <c r="H229" s="1" t="s">
        <v>242</v>
      </c>
      <c r="W229" s="1" t="s">
        <v>243</v>
      </c>
      <c r="AF229" s="147"/>
      <c r="AG229" s="148"/>
      <c r="AH229" s="148"/>
      <c r="AI229" s="148"/>
      <c r="AJ229" s="148"/>
      <c r="AK229" s="148"/>
      <c r="AL229" s="148"/>
      <c r="AM229" s="148"/>
      <c r="AN229" s="148"/>
      <c r="AO229" s="148"/>
      <c r="AP229" s="148"/>
      <c r="AQ229" s="148"/>
      <c r="AR229" s="148"/>
      <c r="AS229" s="148"/>
      <c r="AT229" s="149"/>
    </row>
    <row r="230" spans="5:55" x14ac:dyDescent="0.3">
      <c r="H230" s="1" t="s">
        <v>245</v>
      </c>
      <c r="R230" s="1" t="s">
        <v>246</v>
      </c>
      <c r="W230" s="1" t="s">
        <v>247</v>
      </c>
      <c r="AF230" s="70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71"/>
    </row>
    <row r="231" spans="5:55" x14ac:dyDescent="0.3">
      <c r="H231" s="1" t="s">
        <v>249</v>
      </c>
      <c r="W231" s="1" t="s">
        <v>243</v>
      </c>
      <c r="AF231" s="70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71"/>
    </row>
    <row r="232" spans="5:55" x14ac:dyDescent="0.3">
      <c r="H232" s="1" t="s">
        <v>239</v>
      </c>
      <c r="R232" s="1" t="s">
        <v>1028</v>
      </c>
      <c r="V232" s="1" t="s">
        <v>331</v>
      </c>
      <c r="W232" s="1" t="s">
        <v>241</v>
      </c>
      <c r="AF232" s="151"/>
      <c r="AG232" s="150"/>
      <c r="AH232" s="150"/>
      <c r="AI232" s="150"/>
      <c r="AJ232" s="69"/>
      <c r="AK232" s="69"/>
      <c r="AL232" s="69"/>
      <c r="AM232" s="69"/>
      <c r="AN232" s="69"/>
      <c r="AO232" s="150"/>
      <c r="AP232" s="150"/>
      <c r="AQ232" s="150"/>
      <c r="AR232" s="150"/>
      <c r="AS232" s="150"/>
      <c r="AT232" s="152"/>
    </row>
    <row r="233" spans="5:55" x14ac:dyDescent="0.3">
      <c r="H233" s="1" t="s">
        <v>242</v>
      </c>
      <c r="W233" s="1" t="s">
        <v>243</v>
      </c>
      <c r="AF233" s="187"/>
      <c r="AG233" s="198"/>
      <c r="AH233" s="198"/>
      <c r="AI233" s="198"/>
      <c r="AJ233" s="198"/>
      <c r="AK233" s="198"/>
      <c r="AL233" s="198"/>
      <c r="AM233" s="198"/>
      <c r="AN233" s="198"/>
      <c r="AO233" s="198"/>
      <c r="AP233" s="198"/>
      <c r="AQ233" s="198"/>
      <c r="AR233" s="198"/>
      <c r="AS233" s="198"/>
      <c r="AT233" s="188"/>
    </row>
    <row r="234" spans="5:55" x14ac:dyDescent="0.3">
      <c r="H234" s="1" t="s">
        <v>245</v>
      </c>
      <c r="R234" s="1" t="s">
        <v>246</v>
      </c>
      <c r="W234" s="1" t="s">
        <v>247</v>
      </c>
      <c r="AF234" s="70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71"/>
    </row>
    <row r="235" spans="5:55" x14ac:dyDescent="0.3">
      <c r="H235" s="1" t="s">
        <v>249</v>
      </c>
      <c r="W235" s="1" t="s">
        <v>243</v>
      </c>
      <c r="AF235" s="75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3"/>
    </row>
    <row r="236" spans="5:55" x14ac:dyDescent="0.3">
      <c r="AF236" s="172"/>
      <c r="AG236" s="172"/>
      <c r="AH236" s="172"/>
      <c r="AI236" s="172"/>
      <c r="AJ236" s="172"/>
      <c r="AK236" s="172"/>
      <c r="AL236" s="172"/>
      <c r="AM236" s="172"/>
      <c r="AN236" s="172"/>
      <c r="AO236" s="172"/>
      <c r="AP236" s="172"/>
      <c r="AQ236" s="172"/>
      <c r="AR236" s="172"/>
      <c r="AS236" s="172"/>
      <c r="AT236" s="172"/>
    </row>
    <row r="238" spans="5:55" x14ac:dyDescent="0.3">
      <c r="E238" s="1" t="s">
        <v>1</v>
      </c>
      <c r="I238" s="1" t="s">
        <v>260</v>
      </c>
      <c r="L238" s="1" t="s">
        <v>326</v>
      </c>
      <c r="V238" s="1" t="s">
        <v>327</v>
      </c>
      <c r="W238" s="1" t="s">
        <v>333</v>
      </c>
      <c r="AJ238" s="76"/>
      <c r="AK238" s="67"/>
      <c r="AL238" s="67"/>
      <c r="AM238" s="67"/>
      <c r="AN238" s="77"/>
      <c r="AR238" s="76"/>
      <c r="AS238" s="77"/>
    </row>
    <row r="239" spans="5:55" x14ac:dyDescent="0.3">
      <c r="L239" s="1" t="s">
        <v>334</v>
      </c>
      <c r="V239" s="1" t="s">
        <v>335</v>
      </c>
      <c r="W239" s="1" t="s">
        <v>336</v>
      </c>
      <c r="AJ239" s="75"/>
      <c r="AK239" s="72"/>
      <c r="AL239" s="72"/>
      <c r="AM239" s="72"/>
      <c r="AN239" s="73"/>
      <c r="AR239" s="75"/>
      <c r="AS239" s="73"/>
    </row>
    <row r="241" spans="5:46" x14ac:dyDescent="0.3">
      <c r="E241" s="1" t="s">
        <v>1</v>
      </c>
      <c r="I241" s="1" t="s">
        <v>260</v>
      </c>
      <c r="L241" s="1" t="s">
        <v>1032</v>
      </c>
      <c r="V241" s="1" t="s">
        <v>1056</v>
      </c>
      <c r="W241" s="1" t="s">
        <v>1629</v>
      </c>
      <c r="AF241" s="76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  <c r="AT241" s="77"/>
    </row>
    <row r="242" spans="5:46" x14ac:dyDescent="0.3">
      <c r="L242" s="1" t="s">
        <v>1045</v>
      </c>
      <c r="V242" s="1" t="s">
        <v>1057</v>
      </c>
      <c r="W242" s="1" t="s">
        <v>1631</v>
      </c>
      <c r="AF242" s="76"/>
      <c r="AG242" s="67"/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  <c r="AR242" s="67"/>
      <c r="AS242" s="67"/>
      <c r="AT242" s="77"/>
    </row>
    <row r="243" spans="5:46" x14ac:dyDescent="0.3">
      <c r="L243" s="1" t="s">
        <v>1046</v>
      </c>
      <c r="V243" s="1" t="s">
        <v>1051</v>
      </c>
      <c r="W243" s="1" t="s">
        <v>1630</v>
      </c>
      <c r="AF243" s="76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  <c r="AR243" s="67"/>
      <c r="AS243" s="67"/>
      <c r="AT243" s="77"/>
    </row>
    <row r="244" spans="5:46" x14ac:dyDescent="0.3">
      <c r="L244" s="1" t="s">
        <v>1633</v>
      </c>
      <c r="V244" s="1" t="s">
        <v>1052</v>
      </c>
      <c r="W244" s="1" t="s">
        <v>1632</v>
      </c>
      <c r="AF244" s="76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  <c r="AR244" s="67"/>
      <c r="AS244" s="67"/>
      <c r="AT244" s="77"/>
    </row>
    <row r="245" spans="5:46" x14ac:dyDescent="0.3">
      <c r="L245" s="1" t="s">
        <v>1653</v>
      </c>
      <c r="V245" s="1" t="s">
        <v>331</v>
      </c>
      <c r="W245" s="1" t="s">
        <v>337</v>
      </c>
      <c r="AF245" s="76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  <c r="AS245" s="67"/>
      <c r="AT245" s="77"/>
    </row>
    <row r="248" spans="5:46" x14ac:dyDescent="0.3">
      <c r="E248" s="1" t="s">
        <v>1</v>
      </c>
      <c r="W248" s="1" t="s">
        <v>236</v>
      </c>
      <c r="AR248" s="184"/>
      <c r="AS248" s="74"/>
    </row>
    <row r="249" spans="5:46" x14ac:dyDescent="0.3">
      <c r="W249" s="1" t="s">
        <v>304</v>
      </c>
      <c r="AR249" s="185"/>
      <c r="AS249" s="71"/>
    </row>
    <row r="250" spans="5:46" x14ac:dyDescent="0.3">
      <c r="W250" s="1" t="s">
        <v>238</v>
      </c>
      <c r="AR250" s="186"/>
      <c r="AS250" s="77"/>
    </row>
    <row r="253" spans="5:46" x14ac:dyDescent="0.3">
      <c r="E253" s="1" t="s">
        <v>1</v>
      </c>
      <c r="V253" s="1" t="s">
        <v>958</v>
      </c>
      <c r="W253" s="1" t="s">
        <v>1659</v>
      </c>
      <c r="AJ253" s="163"/>
      <c r="AK253" s="164"/>
      <c r="AL253" s="164"/>
      <c r="AM253" s="164"/>
      <c r="AN253" s="165"/>
      <c r="AR253" s="163"/>
      <c r="AS253" s="165"/>
    </row>
    <row r="254" spans="5:46" x14ac:dyDescent="0.3">
      <c r="V254" s="1" t="s">
        <v>954</v>
      </c>
      <c r="W254" s="1" t="s">
        <v>1660</v>
      </c>
      <c r="AJ254" s="168"/>
      <c r="AK254" s="167"/>
      <c r="AL254" s="167"/>
      <c r="AM254" s="167"/>
      <c r="AN254" s="169"/>
      <c r="AR254" s="168"/>
      <c r="AS254" s="169"/>
    </row>
    <row r="255" spans="5:46" x14ac:dyDescent="0.3">
      <c r="V255" s="1" t="s">
        <v>960</v>
      </c>
      <c r="W255" s="1" t="s">
        <v>1661</v>
      </c>
      <c r="AJ255" s="163"/>
      <c r="AK255" s="164"/>
      <c r="AL255" s="164"/>
      <c r="AM255" s="164"/>
      <c r="AN255" s="165"/>
      <c r="AR255" s="163"/>
      <c r="AS255" s="165"/>
    </row>
    <row r="256" spans="5:46" x14ac:dyDescent="0.3">
      <c r="V256" s="1" t="s">
        <v>956</v>
      </c>
      <c r="W256" s="1" t="s">
        <v>1662</v>
      </c>
      <c r="AJ256" s="160"/>
      <c r="AK256" s="161"/>
      <c r="AL256" s="161"/>
      <c r="AM256" s="161"/>
      <c r="AN256" s="162"/>
      <c r="AR256" s="160"/>
      <c r="AS256" s="162"/>
    </row>
    <row r="258" spans="22:55" x14ac:dyDescent="0.3">
      <c r="V258" s="1" t="s">
        <v>440</v>
      </c>
      <c r="W258" s="1" t="s">
        <v>1663</v>
      </c>
      <c r="AF258" s="163"/>
      <c r="AG258" s="164"/>
      <c r="AH258" s="164"/>
      <c r="AI258" s="164"/>
      <c r="AJ258" s="164"/>
      <c r="AK258" s="164"/>
      <c r="AL258" s="164"/>
      <c r="AM258" s="164"/>
      <c r="AN258" s="164"/>
      <c r="AO258" s="164"/>
      <c r="AP258" s="164"/>
      <c r="AQ258" s="164"/>
      <c r="AR258" s="164"/>
      <c r="AS258" s="164"/>
      <c r="AT258" s="165"/>
    </row>
    <row r="259" spans="22:55" x14ac:dyDescent="0.3">
      <c r="V259" s="1" t="s">
        <v>442</v>
      </c>
      <c r="W259" s="1" t="s">
        <v>1664</v>
      </c>
      <c r="AF259" s="160"/>
      <c r="AG259" s="161"/>
      <c r="AH259" s="161"/>
      <c r="AI259" s="161"/>
      <c r="AJ259" s="161"/>
      <c r="AK259" s="161"/>
      <c r="AL259" s="161"/>
      <c r="AM259" s="161"/>
      <c r="AN259" s="161"/>
      <c r="AO259" s="161"/>
      <c r="AP259" s="161"/>
      <c r="AQ259" s="161"/>
      <c r="AR259" s="161"/>
      <c r="AS259" s="161"/>
      <c r="AT259" s="162"/>
    </row>
    <row r="262" spans="22:55" x14ac:dyDescent="0.3">
      <c r="BC262" s="2" t="s">
        <v>338</v>
      </c>
    </row>
    <row r="283" spans="55:55" x14ac:dyDescent="0.3">
      <c r="BC283" s="2" t="s">
        <v>1622</v>
      </c>
    </row>
    <row r="285" spans="55:55" x14ac:dyDescent="0.3">
      <c r="BC285" s="1" t="s">
        <v>1626</v>
      </c>
    </row>
    <row r="296" spans="55:55" x14ac:dyDescent="0.3">
      <c r="BC296" s="1" t="s">
        <v>1627</v>
      </c>
    </row>
    <row r="321" spans="55:55" x14ac:dyDescent="0.3">
      <c r="BC321" s="1" t="s">
        <v>1624</v>
      </c>
    </row>
    <row r="334" spans="55:55" x14ac:dyDescent="0.3">
      <c r="BC334" s="1" t="s">
        <v>1625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7689D-5499-4E23-A5BD-E54B4A419717}">
  <sheetPr>
    <tabColor theme="9"/>
  </sheetPr>
  <dimension ref="A1:G14"/>
  <sheetViews>
    <sheetView workbookViewId="0"/>
  </sheetViews>
  <sheetFormatPr defaultColWidth="8.81640625" defaultRowHeight="14.5" x14ac:dyDescent="0.35"/>
  <cols>
    <col min="1" max="1" width="14.453125" customWidth="1"/>
    <col min="2" max="2" width="18.1796875" bestFit="1" customWidth="1"/>
    <col min="3" max="3" width="14.453125" bestFit="1" customWidth="1"/>
    <col min="4" max="4" width="12.1796875" bestFit="1" customWidth="1"/>
    <col min="5" max="5" width="90.453125" style="201" customWidth="1"/>
    <col min="6" max="6" width="13.453125" bestFit="1" customWidth="1"/>
  </cols>
  <sheetData>
    <row r="1" spans="1:7" x14ac:dyDescent="0.35">
      <c r="A1" t="s">
        <v>339</v>
      </c>
      <c r="B1" t="s">
        <v>340</v>
      </c>
      <c r="C1" t="s">
        <v>341</v>
      </c>
      <c r="D1" t="s">
        <v>342</v>
      </c>
      <c r="E1" s="201" t="s">
        <v>343</v>
      </c>
      <c r="F1" t="s">
        <v>1472</v>
      </c>
      <c r="G1" t="s">
        <v>121</v>
      </c>
    </row>
    <row r="2" spans="1:7" x14ac:dyDescent="0.35">
      <c r="A2" t="s">
        <v>344</v>
      </c>
      <c r="B2" t="s">
        <v>344</v>
      </c>
      <c r="E2" s="201" t="s">
        <v>1794</v>
      </c>
      <c r="F2">
        <v>1</v>
      </c>
    </row>
    <row r="3" spans="1:7" ht="29" x14ac:dyDescent="0.35">
      <c r="A3" t="s">
        <v>345</v>
      </c>
      <c r="B3" t="s">
        <v>345</v>
      </c>
      <c r="E3" s="201" t="s">
        <v>1774</v>
      </c>
      <c r="F3" t="s">
        <v>1473</v>
      </c>
    </row>
    <row r="4" spans="1:7" ht="87" x14ac:dyDescent="0.35">
      <c r="A4" t="s">
        <v>111</v>
      </c>
      <c r="B4" t="s">
        <v>111</v>
      </c>
      <c r="E4" s="201" t="s">
        <v>1775</v>
      </c>
      <c r="F4" s="201" t="s">
        <v>1845</v>
      </c>
    </row>
    <row r="5" spans="1:7" x14ac:dyDescent="0.35">
      <c r="A5" t="s">
        <v>56</v>
      </c>
      <c r="B5" t="s">
        <v>56</v>
      </c>
      <c r="E5" s="201" t="s">
        <v>346</v>
      </c>
    </row>
    <row r="6" spans="1:7" x14ac:dyDescent="0.35">
      <c r="A6" t="s">
        <v>62</v>
      </c>
      <c r="B6" t="s">
        <v>62</v>
      </c>
      <c r="E6" s="201" t="s">
        <v>1583</v>
      </c>
      <c r="F6" t="s">
        <v>1757</v>
      </c>
    </row>
    <row r="7" spans="1:7" ht="29" x14ac:dyDescent="0.35">
      <c r="A7" t="s">
        <v>98</v>
      </c>
      <c r="B7" t="s">
        <v>347</v>
      </c>
      <c r="E7" s="201" t="s">
        <v>1004</v>
      </c>
    </row>
    <row r="8" spans="1:7" ht="43.5" x14ac:dyDescent="0.35">
      <c r="A8" t="s">
        <v>181</v>
      </c>
      <c r="B8" t="s">
        <v>348</v>
      </c>
      <c r="E8" s="201" t="s">
        <v>1096</v>
      </c>
    </row>
    <row r="9" spans="1:7" x14ac:dyDescent="0.35">
      <c r="A9" t="s">
        <v>178</v>
      </c>
      <c r="B9" t="s">
        <v>178</v>
      </c>
      <c r="E9" s="201" t="s">
        <v>349</v>
      </c>
    </row>
    <row r="10" spans="1:7" x14ac:dyDescent="0.35">
      <c r="A10" t="s">
        <v>350</v>
      </c>
      <c r="B10" t="s">
        <v>351</v>
      </c>
      <c r="E10" s="201" t="s">
        <v>352</v>
      </c>
    </row>
    <row r="11" spans="1:7" ht="29" x14ac:dyDescent="0.35">
      <c r="A11" t="s">
        <v>114</v>
      </c>
      <c r="B11" t="s">
        <v>114</v>
      </c>
      <c r="E11" s="201" t="s">
        <v>1829</v>
      </c>
    </row>
    <row r="12" spans="1:7" ht="43.5" x14ac:dyDescent="0.35">
      <c r="A12" t="s">
        <v>353</v>
      </c>
      <c r="B12" t="s">
        <v>353</v>
      </c>
      <c r="E12" s="201" t="s">
        <v>1776</v>
      </c>
    </row>
    <row r="13" spans="1:7" x14ac:dyDescent="0.35">
      <c r="A13" t="s">
        <v>985</v>
      </c>
      <c r="B13" t="s">
        <v>985</v>
      </c>
      <c r="C13" s="197" t="s">
        <v>200</v>
      </c>
    </row>
    <row r="14" spans="1:7" x14ac:dyDescent="0.35">
      <c r="A14" t="s">
        <v>1113</v>
      </c>
      <c r="B14" t="s">
        <v>1113</v>
      </c>
      <c r="E14" s="201" t="s">
        <v>1114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D9790-9905-4F42-BC5A-451C4D2114F3}">
  <sheetPr>
    <tabColor theme="9"/>
  </sheetPr>
  <dimension ref="A1:W255"/>
  <sheetViews>
    <sheetView topLeftCell="J201" zoomScale="150" zoomScaleNormal="85" workbookViewId="0">
      <selection activeCell="A220" sqref="A220:XFD220"/>
    </sheetView>
  </sheetViews>
  <sheetFormatPr defaultColWidth="8.81640625" defaultRowHeight="14.5" x14ac:dyDescent="0.35"/>
  <cols>
    <col min="1" max="1" width="19.81640625" style="28" bestFit="1" customWidth="1"/>
    <col min="2" max="2" width="75.453125" customWidth="1"/>
    <col min="3" max="3" width="42.453125" style="28" bestFit="1" customWidth="1"/>
    <col min="4" max="4" width="10.453125" bestFit="1" customWidth="1"/>
    <col min="5" max="5" width="46.1796875" bestFit="1" customWidth="1"/>
    <col min="6" max="6" width="22.1796875" bestFit="1" customWidth="1"/>
    <col min="7" max="7" width="15.81640625" bestFit="1" customWidth="1"/>
    <col min="8" max="8" width="15.81640625" customWidth="1"/>
    <col min="9" max="9" width="9.453125" bestFit="1" customWidth="1"/>
    <col min="10" max="10" width="56" bestFit="1" customWidth="1"/>
    <col min="11" max="11" width="81.453125" bestFit="1" customWidth="1"/>
    <col min="12" max="12" width="120.81640625" bestFit="1" customWidth="1"/>
    <col min="13" max="13" width="32.453125" bestFit="1" customWidth="1"/>
    <col min="14" max="14" width="39.453125" customWidth="1"/>
    <col min="15" max="15" width="84" bestFit="1" customWidth="1"/>
    <col min="16" max="17" width="46.453125" bestFit="1" customWidth="1"/>
    <col min="18" max="18" width="45.81640625" bestFit="1" customWidth="1"/>
    <col min="19" max="19" width="37.453125" bestFit="1" customWidth="1"/>
    <col min="20" max="20" width="41.81640625" bestFit="1" customWidth="1"/>
    <col min="21" max="21" width="41.1796875" bestFit="1" customWidth="1"/>
    <col min="22" max="22" width="40.453125" bestFit="1" customWidth="1"/>
  </cols>
  <sheetData>
    <row r="1" spans="1:23" x14ac:dyDescent="0.35">
      <c r="A1" s="28" t="s">
        <v>27</v>
      </c>
      <c r="B1" t="s">
        <v>340</v>
      </c>
      <c r="C1" s="28" t="s">
        <v>29</v>
      </c>
      <c r="D1" t="s">
        <v>354</v>
      </c>
      <c r="E1" t="s">
        <v>30</v>
      </c>
      <c r="F1" t="s">
        <v>355</v>
      </c>
      <c r="G1" t="s">
        <v>31</v>
      </c>
      <c r="H1" t="s">
        <v>356</v>
      </c>
      <c r="I1" t="s">
        <v>1742</v>
      </c>
      <c r="J1" t="s">
        <v>344</v>
      </c>
      <c r="K1" t="s">
        <v>345</v>
      </c>
      <c r="L1" t="s">
        <v>111</v>
      </c>
      <c r="M1" t="s">
        <v>56</v>
      </c>
      <c r="N1" t="s">
        <v>62</v>
      </c>
      <c r="O1" t="s">
        <v>98</v>
      </c>
      <c r="P1" t="s">
        <v>181</v>
      </c>
      <c r="Q1" t="s">
        <v>178</v>
      </c>
      <c r="R1" t="s">
        <v>114</v>
      </c>
      <c r="S1" t="s">
        <v>350</v>
      </c>
      <c r="T1" t="s">
        <v>353</v>
      </c>
      <c r="U1" t="s">
        <v>1113</v>
      </c>
      <c r="V1" t="s">
        <v>121</v>
      </c>
      <c r="W1" t="s">
        <v>357</v>
      </c>
    </row>
    <row r="2" spans="1:23" x14ac:dyDescent="0.35">
      <c r="A2" s="28" t="s">
        <v>358</v>
      </c>
      <c r="B2" t="s">
        <v>1167</v>
      </c>
      <c r="C2" s="28" t="s">
        <v>34</v>
      </c>
      <c r="E2" t="s">
        <v>1520</v>
      </c>
      <c r="F2" t="s">
        <v>303</v>
      </c>
      <c r="H2">
        <v>1</v>
      </c>
      <c r="L2" t="s">
        <v>1166</v>
      </c>
      <c r="M2" t="s">
        <v>359</v>
      </c>
      <c r="P2" t="s">
        <v>1521</v>
      </c>
    </row>
    <row r="3" spans="1:23" x14ac:dyDescent="0.35">
      <c r="A3" s="28" t="s">
        <v>358</v>
      </c>
      <c r="B3" t="s">
        <v>1168</v>
      </c>
      <c r="C3" s="28" t="s">
        <v>34</v>
      </c>
      <c r="E3" t="s">
        <v>1520</v>
      </c>
      <c r="F3" t="s">
        <v>360</v>
      </c>
      <c r="H3">
        <v>0</v>
      </c>
      <c r="L3" t="s">
        <v>1166</v>
      </c>
      <c r="M3" t="s">
        <v>359</v>
      </c>
      <c r="P3" t="s">
        <v>1522</v>
      </c>
    </row>
    <row r="4" spans="1:23" x14ac:dyDescent="0.35">
      <c r="A4" s="28" t="s">
        <v>1517</v>
      </c>
      <c r="B4" t="s">
        <v>1518</v>
      </c>
      <c r="C4" s="28" t="s">
        <v>34</v>
      </c>
      <c r="E4" t="s">
        <v>976</v>
      </c>
      <c r="F4" t="s">
        <v>298</v>
      </c>
      <c r="H4">
        <v>1</v>
      </c>
      <c r="L4" t="s">
        <v>1143</v>
      </c>
      <c r="N4" t="s">
        <v>363</v>
      </c>
      <c r="P4" t="s">
        <v>573</v>
      </c>
    </row>
    <row r="5" spans="1:23" x14ac:dyDescent="0.35">
      <c r="A5" s="28" t="s">
        <v>1517</v>
      </c>
      <c r="B5" t="s">
        <v>1519</v>
      </c>
      <c r="C5" s="28" t="s">
        <v>34</v>
      </c>
      <c r="E5" t="s">
        <v>976</v>
      </c>
      <c r="F5" t="s">
        <v>301</v>
      </c>
      <c r="H5">
        <v>0</v>
      </c>
      <c r="L5" t="s">
        <v>1143</v>
      </c>
      <c r="N5" t="s">
        <v>363</v>
      </c>
      <c r="P5" t="s">
        <v>574</v>
      </c>
      <c r="V5" t="s">
        <v>1005</v>
      </c>
    </row>
    <row r="6" spans="1:23" x14ac:dyDescent="0.35">
      <c r="A6" s="28" t="s">
        <v>113</v>
      </c>
      <c r="B6" t="s">
        <v>1030</v>
      </c>
      <c r="C6" s="28" t="s">
        <v>34</v>
      </c>
      <c r="E6" t="s">
        <v>991</v>
      </c>
      <c r="F6" t="s">
        <v>361</v>
      </c>
      <c r="H6">
        <v>0</v>
      </c>
      <c r="L6" t="s">
        <v>362</v>
      </c>
      <c r="N6" t="s">
        <v>363</v>
      </c>
      <c r="R6" t="s">
        <v>364</v>
      </c>
    </row>
    <row r="7" spans="1:23" x14ac:dyDescent="0.35">
      <c r="A7" t="s">
        <v>1068</v>
      </c>
      <c r="B7" t="s">
        <v>1067</v>
      </c>
      <c r="C7" s="28" t="s">
        <v>34</v>
      </c>
      <c r="E7" t="s">
        <v>1031</v>
      </c>
      <c r="F7" t="s">
        <v>1068</v>
      </c>
      <c r="H7">
        <v>0</v>
      </c>
      <c r="L7" t="s">
        <v>362</v>
      </c>
      <c r="N7" t="s">
        <v>363</v>
      </c>
      <c r="R7" t="s">
        <v>1069</v>
      </c>
    </row>
    <row r="8" spans="1:23" x14ac:dyDescent="0.35">
      <c r="A8" s="28" t="s">
        <v>365</v>
      </c>
      <c r="B8" t="s">
        <v>1015</v>
      </c>
      <c r="C8" s="28" t="s">
        <v>34</v>
      </c>
      <c r="E8" t="s">
        <v>990</v>
      </c>
      <c r="F8" t="s">
        <v>372</v>
      </c>
      <c r="H8">
        <v>0</v>
      </c>
      <c r="L8" t="s">
        <v>367</v>
      </c>
      <c r="N8" t="s">
        <v>368</v>
      </c>
      <c r="O8" t="s">
        <v>373</v>
      </c>
      <c r="R8" t="s">
        <v>370</v>
      </c>
    </row>
    <row r="9" spans="1:23" x14ac:dyDescent="0.35">
      <c r="A9" s="28" t="s">
        <v>365</v>
      </c>
      <c r="B9" t="s">
        <v>1014</v>
      </c>
      <c r="C9" s="28" t="s">
        <v>34</v>
      </c>
      <c r="E9" t="s">
        <v>990</v>
      </c>
      <c r="F9" t="s">
        <v>366</v>
      </c>
      <c r="H9">
        <v>0</v>
      </c>
      <c r="L9" t="s">
        <v>367</v>
      </c>
      <c r="N9" t="s">
        <v>368</v>
      </c>
      <c r="O9" t="s">
        <v>1013</v>
      </c>
      <c r="R9" t="s">
        <v>370</v>
      </c>
    </row>
    <row r="10" spans="1:23" s="204" customFormat="1" x14ac:dyDescent="0.35">
      <c r="A10" s="203" t="s">
        <v>1805</v>
      </c>
      <c r="B10" s="204" t="s">
        <v>1822</v>
      </c>
      <c r="C10" s="203" t="s">
        <v>34</v>
      </c>
      <c r="E10" s="204" t="s">
        <v>1817</v>
      </c>
      <c r="F10" s="204" t="s">
        <v>1805</v>
      </c>
      <c r="H10" s="204">
        <v>0</v>
      </c>
      <c r="K10" s="204" t="s">
        <v>449</v>
      </c>
      <c r="N10" s="204" t="s">
        <v>368</v>
      </c>
      <c r="R10" s="204" t="s">
        <v>1818</v>
      </c>
    </row>
    <row r="11" spans="1:23" s="204" customFormat="1" x14ac:dyDescent="0.35">
      <c r="A11" s="203" t="s">
        <v>1805</v>
      </c>
      <c r="B11" s="204" t="s">
        <v>1905</v>
      </c>
      <c r="C11" s="203" t="s">
        <v>34</v>
      </c>
      <c r="E11" s="204" t="s">
        <v>1817</v>
      </c>
      <c r="F11" s="204" t="s">
        <v>1906</v>
      </c>
      <c r="H11" s="204">
        <v>0</v>
      </c>
      <c r="K11" s="204" t="s">
        <v>449</v>
      </c>
      <c r="N11" s="204" t="s">
        <v>368</v>
      </c>
      <c r="R11" s="204" t="s">
        <v>1806</v>
      </c>
    </row>
    <row r="12" spans="1:23" x14ac:dyDescent="0.35">
      <c r="A12" s="28" t="s">
        <v>1063</v>
      </c>
      <c r="B12" t="s">
        <v>1064</v>
      </c>
      <c r="C12" s="28" t="s">
        <v>34</v>
      </c>
      <c r="E12" t="s">
        <v>1031</v>
      </c>
      <c r="F12" t="s">
        <v>1063</v>
      </c>
      <c r="H12">
        <v>0</v>
      </c>
      <c r="L12" t="s">
        <v>367</v>
      </c>
      <c r="N12" t="s">
        <v>368</v>
      </c>
      <c r="R12" t="s">
        <v>1059</v>
      </c>
    </row>
    <row r="13" spans="1:23" s="204" customFormat="1" x14ac:dyDescent="0.35">
      <c r="A13" s="203" t="s">
        <v>1825</v>
      </c>
      <c r="B13" s="204" t="s">
        <v>1823</v>
      </c>
      <c r="C13" s="203" t="s">
        <v>67</v>
      </c>
      <c r="E13" s="204" t="s">
        <v>991</v>
      </c>
      <c r="F13" s="204" t="s">
        <v>1809</v>
      </c>
      <c r="L13" s="204" t="s">
        <v>367</v>
      </c>
      <c r="N13" s="204" t="s">
        <v>368</v>
      </c>
      <c r="R13" s="204" t="s">
        <v>1818</v>
      </c>
    </row>
    <row r="14" spans="1:23" s="204" customFormat="1" x14ac:dyDescent="0.35">
      <c r="A14" s="203" t="s">
        <v>1825</v>
      </c>
      <c r="B14" s="204" t="s">
        <v>1824</v>
      </c>
      <c r="C14" s="203" t="s">
        <v>67</v>
      </c>
      <c r="E14" s="204" t="s">
        <v>991</v>
      </c>
      <c r="F14" s="204" t="s">
        <v>1826</v>
      </c>
      <c r="L14" s="204" t="s">
        <v>367</v>
      </c>
      <c r="N14" s="204" t="s">
        <v>368</v>
      </c>
      <c r="R14" s="204" t="s">
        <v>370</v>
      </c>
    </row>
    <row r="15" spans="1:23" s="204" customFormat="1" x14ac:dyDescent="0.35">
      <c r="A15" s="203" t="s">
        <v>1825</v>
      </c>
      <c r="B15" s="204" t="s">
        <v>1854</v>
      </c>
      <c r="C15" s="203" t="s">
        <v>67</v>
      </c>
      <c r="E15" s="204" t="s">
        <v>991</v>
      </c>
      <c r="F15" s="204" t="s">
        <v>1855</v>
      </c>
      <c r="L15" s="204" t="s">
        <v>367</v>
      </c>
      <c r="N15" s="204" t="s">
        <v>368</v>
      </c>
      <c r="R15" s="204" t="s">
        <v>404</v>
      </c>
    </row>
    <row r="16" spans="1:23" x14ac:dyDescent="0.35">
      <c r="A16" s="28" t="s">
        <v>3</v>
      </c>
      <c r="B16" t="s">
        <v>386</v>
      </c>
      <c r="C16" s="28" t="s">
        <v>67</v>
      </c>
      <c r="E16" t="s">
        <v>988</v>
      </c>
      <c r="F16" t="s">
        <v>387</v>
      </c>
      <c r="L16" t="s">
        <v>362</v>
      </c>
      <c r="N16" t="s">
        <v>363</v>
      </c>
      <c r="Q16" t="s">
        <v>388</v>
      </c>
    </row>
    <row r="17" spans="1:18" x14ac:dyDescent="0.35">
      <c r="A17" s="28" t="s">
        <v>3</v>
      </c>
      <c r="B17" t="s">
        <v>383</v>
      </c>
      <c r="C17" s="28" t="s">
        <v>67</v>
      </c>
      <c r="E17" t="s">
        <v>988</v>
      </c>
      <c r="F17" t="s">
        <v>384</v>
      </c>
      <c r="L17" t="s">
        <v>362</v>
      </c>
      <c r="N17" t="s">
        <v>363</v>
      </c>
      <c r="Q17" t="s">
        <v>385</v>
      </c>
    </row>
    <row r="18" spans="1:18" x14ac:dyDescent="0.35">
      <c r="A18" s="28" t="s">
        <v>3</v>
      </c>
      <c r="B18" t="s">
        <v>380</v>
      </c>
      <c r="C18" s="28" t="s">
        <v>67</v>
      </c>
      <c r="E18" t="s">
        <v>988</v>
      </c>
      <c r="F18" t="s">
        <v>381</v>
      </c>
      <c r="L18" t="s">
        <v>362</v>
      </c>
      <c r="N18" t="s">
        <v>363</v>
      </c>
      <c r="Q18" t="s">
        <v>382</v>
      </c>
    </row>
    <row r="19" spans="1:18" x14ac:dyDescent="0.35">
      <c r="A19" s="28" t="s">
        <v>3</v>
      </c>
      <c r="B19" t="s">
        <v>377</v>
      </c>
      <c r="C19" s="28" t="s">
        <v>67</v>
      </c>
      <c r="E19" t="s">
        <v>988</v>
      </c>
      <c r="F19" t="s">
        <v>378</v>
      </c>
      <c r="L19" t="s">
        <v>362</v>
      </c>
      <c r="N19" t="s">
        <v>363</v>
      </c>
      <c r="Q19" t="s">
        <v>379</v>
      </c>
    </row>
    <row r="20" spans="1:18" x14ac:dyDescent="0.35">
      <c r="A20" s="28" t="s">
        <v>3</v>
      </c>
      <c r="B20" t="s">
        <v>374</v>
      </c>
      <c r="C20" s="28" t="s">
        <v>67</v>
      </c>
      <c r="E20" t="s">
        <v>988</v>
      </c>
      <c r="F20" t="s">
        <v>375</v>
      </c>
      <c r="I20" t="b">
        <v>1</v>
      </c>
      <c r="L20" t="s">
        <v>362</v>
      </c>
      <c r="N20" t="s">
        <v>363</v>
      </c>
      <c r="Q20" t="s">
        <v>376</v>
      </c>
    </row>
    <row r="21" spans="1:18" x14ac:dyDescent="0.35">
      <c r="A21" s="28" t="s">
        <v>3</v>
      </c>
      <c r="B21" t="s">
        <v>389</v>
      </c>
      <c r="C21" s="28" t="s">
        <v>67</v>
      </c>
      <c r="E21" t="s">
        <v>988</v>
      </c>
      <c r="F21" t="s">
        <v>110</v>
      </c>
      <c r="L21" t="s">
        <v>362</v>
      </c>
      <c r="N21" t="s">
        <v>363</v>
      </c>
      <c r="Q21" t="s">
        <v>390</v>
      </c>
    </row>
    <row r="22" spans="1:18" x14ac:dyDescent="0.35">
      <c r="A22" s="28" t="s">
        <v>3</v>
      </c>
      <c r="B22" t="s">
        <v>1145</v>
      </c>
      <c r="C22" s="28" t="s">
        <v>67</v>
      </c>
      <c r="E22" t="s">
        <v>988</v>
      </c>
      <c r="F22" t="s">
        <v>1144</v>
      </c>
      <c r="L22" t="s">
        <v>1149</v>
      </c>
      <c r="N22" t="s">
        <v>363</v>
      </c>
      <c r="Q22" t="s">
        <v>390</v>
      </c>
    </row>
    <row r="23" spans="1:18" x14ac:dyDescent="0.35">
      <c r="A23" s="28" t="s">
        <v>3</v>
      </c>
      <c r="B23" t="s">
        <v>1147</v>
      </c>
      <c r="C23" s="28" t="s">
        <v>67</v>
      </c>
      <c r="E23" t="s">
        <v>988</v>
      </c>
      <c r="F23" t="s">
        <v>391</v>
      </c>
      <c r="L23" t="s">
        <v>392</v>
      </c>
      <c r="N23" t="s">
        <v>368</v>
      </c>
      <c r="Q23" t="s">
        <v>390</v>
      </c>
    </row>
    <row r="24" spans="1:18" x14ac:dyDescent="0.35">
      <c r="A24" s="28" t="s">
        <v>3</v>
      </c>
      <c r="B24" t="s">
        <v>1146</v>
      </c>
      <c r="C24" s="28" t="s">
        <v>67</v>
      </c>
      <c r="E24" t="s">
        <v>988</v>
      </c>
      <c r="F24" t="s">
        <v>393</v>
      </c>
      <c r="L24" t="s">
        <v>394</v>
      </c>
      <c r="N24" t="s">
        <v>368</v>
      </c>
      <c r="Q24" t="s">
        <v>390</v>
      </c>
    </row>
    <row r="25" spans="1:18" x14ac:dyDescent="0.35">
      <c r="A25" s="28" t="s">
        <v>3</v>
      </c>
      <c r="B25" t="s">
        <v>1148</v>
      </c>
      <c r="C25" s="28" t="s">
        <v>67</v>
      </c>
      <c r="E25" t="s">
        <v>988</v>
      </c>
      <c r="F25" t="s">
        <v>395</v>
      </c>
      <c r="L25" t="s">
        <v>396</v>
      </c>
      <c r="N25" t="s">
        <v>368</v>
      </c>
      <c r="Q25" t="s">
        <v>390</v>
      </c>
    </row>
    <row r="26" spans="1:18" x14ac:dyDescent="0.35">
      <c r="A26" s="28" t="s">
        <v>3</v>
      </c>
      <c r="B26" t="s">
        <v>1150</v>
      </c>
      <c r="C26" s="28" t="s">
        <v>67</v>
      </c>
      <c r="E26" t="s">
        <v>988</v>
      </c>
      <c r="F26" t="s">
        <v>1151</v>
      </c>
      <c r="L26" t="s">
        <v>1143</v>
      </c>
      <c r="N26" t="s">
        <v>363</v>
      </c>
      <c r="Q26" t="s">
        <v>390</v>
      </c>
    </row>
    <row r="27" spans="1:18" ht="16" customHeight="1" x14ac:dyDescent="0.35">
      <c r="A27" s="28" t="s">
        <v>397</v>
      </c>
      <c r="B27" t="s">
        <v>398</v>
      </c>
      <c r="C27" s="28" t="s">
        <v>67</v>
      </c>
      <c r="E27" t="s">
        <v>989</v>
      </c>
      <c r="F27" t="s">
        <v>399</v>
      </c>
      <c r="N27" t="s">
        <v>368</v>
      </c>
    </row>
    <row r="28" spans="1:18" x14ac:dyDescent="0.35">
      <c r="A28" s="28" t="s">
        <v>397</v>
      </c>
      <c r="B28" t="s">
        <v>400</v>
      </c>
      <c r="C28" s="28" t="s">
        <v>67</v>
      </c>
      <c r="E28" t="s">
        <v>989</v>
      </c>
      <c r="F28" t="s">
        <v>401</v>
      </c>
      <c r="N28" t="s">
        <v>363</v>
      </c>
    </row>
    <row r="29" spans="1:18" x14ac:dyDescent="0.35">
      <c r="A29" s="28" t="s">
        <v>402</v>
      </c>
      <c r="B29" t="s">
        <v>1023</v>
      </c>
      <c r="C29" s="28" t="s">
        <v>67</v>
      </c>
      <c r="E29" t="s">
        <v>990</v>
      </c>
      <c r="F29" t="s">
        <v>403</v>
      </c>
      <c r="L29" t="s">
        <v>367</v>
      </c>
      <c r="N29" t="s">
        <v>368</v>
      </c>
      <c r="O29" t="s">
        <v>1097</v>
      </c>
      <c r="R29" t="s">
        <v>404</v>
      </c>
    </row>
    <row r="30" spans="1:18" x14ac:dyDescent="0.35">
      <c r="A30" s="28" t="s">
        <v>402</v>
      </c>
      <c r="B30" t="s">
        <v>1024</v>
      </c>
      <c r="C30" s="28" t="s">
        <v>67</v>
      </c>
      <c r="E30" t="s">
        <v>990</v>
      </c>
      <c r="F30" t="s">
        <v>405</v>
      </c>
      <c r="L30" t="s">
        <v>367</v>
      </c>
      <c r="N30" t="s">
        <v>368</v>
      </c>
      <c r="O30" t="s">
        <v>1097</v>
      </c>
      <c r="R30" t="s">
        <v>406</v>
      </c>
    </row>
    <row r="31" spans="1:18" x14ac:dyDescent="0.35">
      <c r="A31" s="28" t="s">
        <v>402</v>
      </c>
      <c r="B31" t="s">
        <v>1027</v>
      </c>
      <c r="C31" s="28" t="s">
        <v>67</v>
      </c>
      <c r="E31" t="s">
        <v>990</v>
      </c>
      <c r="F31" t="s">
        <v>407</v>
      </c>
      <c r="L31" t="s">
        <v>367</v>
      </c>
      <c r="N31" t="s">
        <v>368</v>
      </c>
      <c r="O31" t="s">
        <v>1098</v>
      </c>
      <c r="R31" t="s">
        <v>408</v>
      </c>
    </row>
    <row r="32" spans="1:18" x14ac:dyDescent="0.35">
      <c r="A32" s="28" t="s">
        <v>402</v>
      </c>
      <c r="B32" t="s">
        <v>1026</v>
      </c>
      <c r="C32" s="28" t="s">
        <v>67</v>
      </c>
      <c r="E32" t="s">
        <v>990</v>
      </c>
      <c r="F32" t="s">
        <v>410</v>
      </c>
      <c r="L32" t="s">
        <v>367</v>
      </c>
      <c r="N32" t="s">
        <v>368</v>
      </c>
      <c r="O32" t="s">
        <v>373</v>
      </c>
      <c r="R32" t="s">
        <v>370</v>
      </c>
    </row>
    <row r="33" spans="1:18" x14ac:dyDescent="0.35">
      <c r="A33" s="28" t="s">
        <v>402</v>
      </c>
      <c r="B33" t="s">
        <v>1025</v>
      </c>
      <c r="C33" s="28" t="s">
        <v>67</v>
      </c>
      <c r="E33" t="s">
        <v>990</v>
      </c>
      <c r="F33" t="s">
        <v>409</v>
      </c>
      <c r="L33" t="s">
        <v>367</v>
      </c>
      <c r="N33" t="s">
        <v>368</v>
      </c>
      <c r="O33" t="s">
        <v>1013</v>
      </c>
      <c r="R33" t="s">
        <v>370</v>
      </c>
    </row>
    <row r="34" spans="1:18" x14ac:dyDescent="0.35">
      <c r="A34" s="28" t="s">
        <v>411</v>
      </c>
      <c r="B34" t="s">
        <v>1037</v>
      </c>
      <c r="C34" s="28" t="s">
        <v>67</v>
      </c>
      <c r="E34" t="s">
        <v>991</v>
      </c>
      <c r="F34" t="s">
        <v>412</v>
      </c>
      <c r="L34" t="s">
        <v>362</v>
      </c>
      <c r="N34" t="s">
        <v>363</v>
      </c>
      <c r="R34" t="s">
        <v>364</v>
      </c>
    </row>
    <row r="35" spans="1:18" x14ac:dyDescent="0.35">
      <c r="A35" s="28" t="s">
        <v>411</v>
      </c>
      <c r="B35" t="s">
        <v>1549</v>
      </c>
      <c r="C35" s="28" t="s">
        <v>67</v>
      </c>
      <c r="E35" t="s">
        <v>991</v>
      </c>
      <c r="F35" t="s">
        <v>1526</v>
      </c>
      <c r="L35" t="s">
        <v>1553</v>
      </c>
      <c r="N35" t="s">
        <v>363</v>
      </c>
      <c r="R35" t="s">
        <v>1554</v>
      </c>
    </row>
    <row r="36" spans="1:18" x14ac:dyDescent="0.35">
      <c r="A36" s="28" t="s">
        <v>411</v>
      </c>
      <c r="B36" t="s">
        <v>1038</v>
      </c>
      <c r="C36" s="28" t="s">
        <v>67</v>
      </c>
      <c r="E36" t="s">
        <v>991</v>
      </c>
      <c r="F36" t="s">
        <v>413</v>
      </c>
      <c r="L36" t="s">
        <v>362</v>
      </c>
      <c r="N36" t="s">
        <v>363</v>
      </c>
      <c r="R36" t="s">
        <v>414</v>
      </c>
    </row>
    <row r="37" spans="1:18" x14ac:dyDescent="0.35">
      <c r="A37" s="28" t="s">
        <v>411</v>
      </c>
      <c r="B37" t="s">
        <v>1548</v>
      </c>
      <c r="C37" s="28" t="s">
        <v>67</v>
      </c>
      <c r="E37" t="s">
        <v>991</v>
      </c>
      <c r="F37" t="s">
        <v>1525</v>
      </c>
      <c r="L37" t="s">
        <v>1552</v>
      </c>
      <c r="N37" t="s">
        <v>363</v>
      </c>
      <c r="R37" t="s">
        <v>1554</v>
      </c>
    </row>
    <row r="38" spans="1:18" x14ac:dyDescent="0.35">
      <c r="A38" s="28" t="s">
        <v>411</v>
      </c>
      <c r="B38" t="s">
        <v>1683</v>
      </c>
      <c r="C38" s="28" t="s">
        <v>67</v>
      </c>
      <c r="E38" t="s">
        <v>991</v>
      </c>
      <c r="F38" t="s">
        <v>1685</v>
      </c>
      <c r="L38" t="s">
        <v>1687</v>
      </c>
      <c r="N38" t="s">
        <v>363</v>
      </c>
      <c r="R38" t="s">
        <v>1554</v>
      </c>
    </row>
    <row r="39" spans="1:18" x14ac:dyDescent="0.35">
      <c r="A39" s="28" t="s">
        <v>411</v>
      </c>
      <c r="B39" t="s">
        <v>1684</v>
      </c>
      <c r="C39" s="28" t="s">
        <v>67</v>
      </c>
      <c r="E39" t="s">
        <v>991</v>
      </c>
      <c r="F39" t="s">
        <v>1686</v>
      </c>
      <c r="L39" t="s">
        <v>1688</v>
      </c>
      <c r="N39" t="s">
        <v>363</v>
      </c>
      <c r="R39" t="s">
        <v>1554</v>
      </c>
    </row>
    <row r="40" spans="1:18" x14ac:dyDescent="0.35">
      <c r="A40" s="28" t="s">
        <v>411</v>
      </c>
      <c r="B40" t="s">
        <v>1551</v>
      </c>
      <c r="C40" s="28" t="s">
        <v>67</v>
      </c>
      <c r="E40" t="s">
        <v>991</v>
      </c>
      <c r="F40" t="s">
        <v>1524</v>
      </c>
      <c r="L40" t="s">
        <v>1605</v>
      </c>
      <c r="N40" t="s">
        <v>363</v>
      </c>
      <c r="R40" t="s">
        <v>1554</v>
      </c>
    </row>
    <row r="41" spans="1:18" x14ac:dyDescent="0.35">
      <c r="A41" s="28" t="s">
        <v>411</v>
      </c>
      <c r="B41" t="s">
        <v>1550</v>
      </c>
      <c r="C41" s="28" t="s">
        <v>67</v>
      </c>
      <c r="E41" t="s">
        <v>991</v>
      </c>
      <c r="F41" t="s">
        <v>1527</v>
      </c>
      <c r="L41" t="s">
        <v>1677</v>
      </c>
      <c r="N41" t="s">
        <v>363</v>
      </c>
      <c r="R41" t="s">
        <v>1554</v>
      </c>
    </row>
    <row r="42" spans="1:18" x14ac:dyDescent="0.35">
      <c r="A42" s="28" t="s">
        <v>411</v>
      </c>
      <c r="B42" t="s">
        <v>1039</v>
      </c>
      <c r="C42" s="28" t="s">
        <v>67</v>
      </c>
      <c r="E42" t="s">
        <v>991</v>
      </c>
      <c r="F42" t="s">
        <v>416</v>
      </c>
      <c r="L42" t="s">
        <v>417</v>
      </c>
      <c r="N42" t="s">
        <v>368</v>
      </c>
      <c r="R42" t="s">
        <v>418</v>
      </c>
    </row>
    <row r="43" spans="1:18" x14ac:dyDescent="0.35">
      <c r="A43" s="28" t="s">
        <v>411</v>
      </c>
      <c r="B43" t="s">
        <v>1040</v>
      </c>
      <c r="C43" s="28" t="s">
        <v>67</v>
      </c>
      <c r="E43" t="s">
        <v>991</v>
      </c>
      <c r="F43" t="s">
        <v>415</v>
      </c>
      <c r="L43" t="s">
        <v>367</v>
      </c>
      <c r="N43" t="s">
        <v>368</v>
      </c>
      <c r="R43" t="s">
        <v>408</v>
      </c>
    </row>
    <row r="44" spans="1:18" x14ac:dyDescent="0.35">
      <c r="A44" s="28" t="s">
        <v>411</v>
      </c>
      <c r="B44" t="s">
        <v>1090</v>
      </c>
      <c r="C44" s="28" t="s">
        <v>67</v>
      </c>
      <c r="E44" t="s">
        <v>991</v>
      </c>
      <c r="F44" t="s">
        <v>419</v>
      </c>
      <c r="L44" t="s">
        <v>495</v>
      </c>
      <c r="N44" t="s">
        <v>368</v>
      </c>
      <c r="R44" t="s">
        <v>420</v>
      </c>
    </row>
    <row r="45" spans="1:18" x14ac:dyDescent="0.35">
      <c r="A45" s="28" t="s">
        <v>411</v>
      </c>
      <c r="B45" t="s">
        <v>1073</v>
      </c>
      <c r="C45" s="28" t="s">
        <v>67</v>
      </c>
      <c r="E45" t="s">
        <v>991</v>
      </c>
      <c r="F45" t="s">
        <v>1074</v>
      </c>
      <c r="L45" t="s">
        <v>362</v>
      </c>
      <c r="N45" t="s">
        <v>363</v>
      </c>
      <c r="R45" t="s">
        <v>1069</v>
      </c>
    </row>
    <row r="46" spans="1:18" x14ac:dyDescent="0.35">
      <c r="A46" s="28" t="s">
        <v>411</v>
      </c>
      <c r="B46" t="s">
        <v>1075</v>
      </c>
      <c r="C46" s="28" t="s">
        <v>67</v>
      </c>
      <c r="E46" t="s">
        <v>991</v>
      </c>
      <c r="F46" t="s">
        <v>1076</v>
      </c>
      <c r="L46" t="s">
        <v>362</v>
      </c>
      <c r="N46" t="s">
        <v>363</v>
      </c>
      <c r="R46" t="s">
        <v>1080</v>
      </c>
    </row>
    <row r="47" spans="1:18" x14ac:dyDescent="0.35">
      <c r="A47" s="28" t="s">
        <v>411</v>
      </c>
      <c r="B47" t="s">
        <v>1081</v>
      </c>
      <c r="C47" s="28" t="s">
        <v>67</v>
      </c>
      <c r="E47" t="s">
        <v>991</v>
      </c>
      <c r="F47" t="s">
        <v>1082</v>
      </c>
      <c r="L47" t="s">
        <v>417</v>
      </c>
      <c r="N47" t="s">
        <v>368</v>
      </c>
      <c r="R47" t="s">
        <v>1083</v>
      </c>
    </row>
    <row r="48" spans="1:18" x14ac:dyDescent="0.35">
      <c r="A48" s="28" t="s">
        <v>411</v>
      </c>
      <c r="B48" t="s">
        <v>1071</v>
      </c>
      <c r="C48" s="28" t="s">
        <v>67</v>
      </c>
      <c r="E48" t="s">
        <v>991</v>
      </c>
      <c r="F48" t="s">
        <v>1061</v>
      </c>
      <c r="L48" t="s">
        <v>367</v>
      </c>
      <c r="N48" t="s">
        <v>368</v>
      </c>
      <c r="R48" t="s">
        <v>1059</v>
      </c>
    </row>
    <row r="49" spans="1:23" x14ac:dyDescent="0.35">
      <c r="A49" s="28" t="s">
        <v>411</v>
      </c>
      <c r="B49" t="s">
        <v>1072</v>
      </c>
      <c r="C49" s="28" t="s">
        <v>67</v>
      </c>
      <c r="E49" t="s">
        <v>991</v>
      </c>
      <c r="F49" t="s">
        <v>1062</v>
      </c>
      <c r="L49" t="s">
        <v>367</v>
      </c>
      <c r="N49" t="s">
        <v>368</v>
      </c>
      <c r="R49" t="s">
        <v>1060</v>
      </c>
    </row>
    <row r="50" spans="1:23" s="204" customFormat="1" x14ac:dyDescent="0.35">
      <c r="A50" s="203" t="s">
        <v>411</v>
      </c>
      <c r="B50" s="204" t="s">
        <v>1875</v>
      </c>
      <c r="C50" s="203" t="s">
        <v>67</v>
      </c>
      <c r="E50" s="204" t="s">
        <v>991</v>
      </c>
      <c r="F50" s="204" t="s">
        <v>1878</v>
      </c>
      <c r="L50" s="204" t="s">
        <v>1874</v>
      </c>
      <c r="N50" s="204" t="s">
        <v>368</v>
      </c>
      <c r="R50" s="204" t="s">
        <v>1806</v>
      </c>
    </row>
    <row r="51" spans="1:23" s="204" customFormat="1" x14ac:dyDescent="0.35">
      <c r="A51" s="203" t="s">
        <v>411</v>
      </c>
      <c r="B51" s="204" t="s">
        <v>1876</v>
      </c>
      <c r="C51" s="203" t="s">
        <v>67</v>
      </c>
      <c r="E51" s="204" t="s">
        <v>991</v>
      </c>
      <c r="F51" s="204" t="s">
        <v>1879</v>
      </c>
      <c r="L51" s="204" t="s">
        <v>1874</v>
      </c>
      <c r="N51" s="204" t="s">
        <v>368</v>
      </c>
      <c r="R51" s="204" t="s">
        <v>1818</v>
      </c>
    </row>
    <row r="52" spans="1:23" s="204" customFormat="1" x14ac:dyDescent="0.35">
      <c r="A52" s="203" t="s">
        <v>411</v>
      </c>
      <c r="B52" s="204" t="s">
        <v>1877</v>
      </c>
      <c r="C52" s="203" t="s">
        <v>67</v>
      </c>
      <c r="E52" s="204" t="s">
        <v>991</v>
      </c>
      <c r="F52" s="204" t="s">
        <v>1880</v>
      </c>
      <c r="L52" s="204" t="s">
        <v>1874</v>
      </c>
      <c r="N52" s="204" t="s">
        <v>368</v>
      </c>
      <c r="R52" s="204" t="s">
        <v>1819</v>
      </c>
    </row>
    <row r="53" spans="1:23" s="204" customFormat="1" x14ac:dyDescent="0.35">
      <c r="A53" s="203" t="s">
        <v>1810</v>
      </c>
      <c r="B53" s="204" t="s">
        <v>1872</v>
      </c>
      <c r="C53" s="203" t="s">
        <v>67</v>
      </c>
      <c r="E53" s="204" t="s">
        <v>1813</v>
      </c>
      <c r="F53" s="204" t="s">
        <v>1873</v>
      </c>
      <c r="K53" s="204" t="s">
        <v>454</v>
      </c>
      <c r="L53" s="204" t="s">
        <v>1874</v>
      </c>
      <c r="N53" s="204" t="s">
        <v>368</v>
      </c>
      <c r="R53" s="204" t="s">
        <v>1806</v>
      </c>
    </row>
    <row r="54" spans="1:23" s="204" customFormat="1" x14ac:dyDescent="0.35">
      <c r="A54" s="203" t="s">
        <v>1810</v>
      </c>
      <c r="B54" s="204" t="s">
        <v>1811</v>
      </c>
      <c r="C54" s="203" t="s">
        <v>67</v>
      </c>
      <c r="E54" s="204" t="s">
        <v>1813</v>
      </c>
      <c r="F54" s="204" t="s">
        <v>1814</v>
      </c>
      <c r="K54" s="204" t="s">
        <v>454</v>
      </c>
      <c r="L54" s="204" t="s">
        <v>367</v>
      </c>
      <c r="N54" s="204" t="s">
        <v>368</v>
      </c>
      <c r="R54" s="204" t="s">
        <v>1806</v>
      </c>
    </row>
    <row r="55" spans="1:23" s="204" customFormat="1" x14ac:dyDescent="0.35">
      <c r="A55" s="203" t="s">
        <v>1810</v>
      </c>
      <c r="B55" s="204" t="s">
        <v>1812</v>
      </c>
      <c r="C55" s="203" t="s">
        <v>67</v>
      </c>
      <c r="E55" s="204" t="s">
        <v>1813</v>
      </c>
      <c r="F55" s="204" t="s">
        <v>1815</v>
      </c>
      <c r="K55" s="204" t="s">
        <v>454</v>
      </c>
      <c r="L55" s="204" t="s">
        <v>371</v>
      </c>
      <c r="N55" s="204" t="s">
        <v>368</v>
      </c>
      <c r="R55" s="204" t="s">
        <v>1806</v>
      </c>
    </row>
    <row r="56" spans="1:23" x14ac:dyDescent="0.35">
      <c r="A56" s="101" t="s">
        <v>964</v>
      </c>
      <c r="B56" s="100" t="s">
        <v>421</v>
      </c>
      <c r="C56" s="101" t="s">
        <v>4</v>
      </c>
      <c r="D56" s="100"/>
      <c r="E56" s="100" t="s">
        <v>56</v>
      </c>
      <c r="F56" s="100" t="s">
        <v>422</v>
      </c>
      <c r="G56" s="100" t="s">
        <v>423</v>
      </c>
      <c r="H56" s="100"/>
      <c r="I56" s="100"/>
      <c r="J56" s="100"/>
      <c r="K56" s="100"/>
      <c r="L56" s="100"/>
      <c r="M56" s="100" t="s">
        <v>363</v>
      </c>
      <c r="N56" s="100"/>
      <c r="O56" s="100"/>
      <c r="P56" s="100"/>
      <c r="Q56" s="100"/>
      <c r="R56" s="100"/>
      <c r="S56" s="100"/>
      <c r="T56" s="100"/>
      <c r="U56" s="100"/>
      <c r="V56" s="100"/>
      <c r="W56" s="100"/>
    </row>
    <row r="57" spans="1:23" x14ac:dyDescent="0.35">
      <c r="A57" s="28" t="s">
        <v>982</v>
      </c>
      <c r="B57" t="s">
        <v>983</v>
      </c>
      <c r="C57" s="28" t="s">
        <v>34</v>
      </c>
      <c r="E57" t="s">
        <v>62</v>
      </c>
      <c r="F57" t="s">
        <v>426</v>
      </c>
      <c r="N57" t="s">
        <v>368</v>
      </c>
    </row>
    <row r="58" spans="1:23" x14ac:dyDescent="0.35">
      <c r="A58" s="101" t="s">
        <v>965</v>
      </c>
      <c r="B58" s="100" t="s">
        <v>424</v>
      </c>
      <c r="C58" s="101" t="s">
        <v>4</v>
      </c>
      <c r="D58" s="100"/>
      <c r="E58" s="100" t="s">
        <v>62</v>
      </c>
      <c r="F58" s="100" t="s">
        <v>425</v>
      </c>
      <c r="G58" s="100" t="s">
        <v>423</v>
      </c>
      <c r="H58" s="100"/>
      <c r="I58" s="100"/>
      <c r="J58" s="100"/>
      <c r="K58" s="100"/>
      <c r="L58" s="100"/>
      <c r="M58" s="100"/>
      <c r="N58" s="100" t="s">
        <v>363</v>
      </c>
      <c r="O58" s="100"/>
      <c r="P58" s="100"/>
      <c r="Q58" s="100"/>
      <c r="R58" s="100"/>
      <c r="S58" s="100"/>
      <c r="T58" s="100"/>
      <c r="U58" s="100"/>
      <c r="V58" s="100"/>
      <c r="W58" s="100"/>
    </row>
    <row r="59" spans="1:23" x14ac:dyDescent="0.35">
      <c r="A59" s="101" t="s">
        <v>965</v>
      </c>
      <c r="B59" s="100" t="s">
        <v>968</v>
      </c>
      <c r="C59" s="101" t="s">
        <v>4</v>
      </c>
      <c r="D59" s="100"/>
      <c r="E59" s="100" t="s">
        <v>62</v>
      </c>
      <c r="F59" s="100" t="s">
        <v>967</v>
      </c>
      <c r="G59" s="100" t="s">
        <v>427</v>
      </c>
      <c r="H59" s="100"/>
      <c r="I59" s="100"/>
      <c r="J59" s="100"/>
      <c r="K59" s="100"/>
      <c r="L59" s="100"/>
      <c r="M59" s="100"/>
      <c r="N59" s="100" t="s">
        <v>363</v>
      </c>
      <c r="O59" s="100"/>
      <c r="P59" s="100"/>
      <c r="Q59" s="100"/>
      <c r="R59" s="100"/>
      <c r="S59" s="100"/>
      <c r="T59" s="100"/>
      <c r="U59" s="100"/>
      <c r="V59" s="100"/>
      <c r="W59" s="100"/>
    </row>
    <row r="60" spans="1:23" x14ac:dyDescent="0.35">
      <c r="A60" s="28" t="s">
        <v>353</v>
      </c>
      <c r="B60" t="s">
        <v>428</v>
      </c>
      <c r="C60" s="205" t="s">
        <v>34</v>
      </c>
      <c r="E60" t="s">
        <v>1001</v>
      </c>
      <c r="F60" t="s">
        <v>429</v>
      </c>
      <c r="H60" s="206">
        <v>1E+40</v>
      </c>
      <c r="I60" s="206"/>
      <c r="L60" t="s">
        <v>362</v>
      </c>
      <c r="N60" t="s">
        <v>363</v>
      </c>
      <c r="T60" t="s">
        <v>430</v>
      </c>
    </row>
    <row r="61" spans="1:23" x14ac:dyDescent="0.35">
      <c r="A61" s="28" t="s">
        <v>353</v>
      </c>
      <c r="B61" t="s">
        <v>434</v>
      </c>
      <c r="C61" s="205" t="s">
        <v>34</v>
      </c>
      <c r="E61" t="s">
        <v>1001</v>
      </c>
      <c r="F61" t="s">
        <v>435</v>
      </c>
      <c r="H61" s="206">
        <v>1E+40</v>
      </c>
      <c r="I61" s="206"/>
      <c r="L61" t="s">
        <v>362</v>
      </c>
      <c r="N61" t="s">
        <v>363</v>
      </c>
      <c r="T61" t="s">
        <v>436</v>
      </c>
    </row>
    <row r="62" spans="1:23" x14ac:dyDescent="0.35">
      <c r="A62" s="28" t="s">
        <v>353</v>
      </c>
      <c r="B62" t="s">
        <v>1475</v>
      </c>
      <c r="C62" s="28" t="s">
        <v>34</v>
      </c>
      <c r="E62" t="s">
        <v>1001</v>
      </c>
      <c r="F62" t="s">
        <v>1476</v>
      </c>
      <c r="H62">
        <v>1</v>
      </c>
      <c r="L62" t="s">
        <v>1478</v>
      </c>
      <c r="N62" t="s">
        <v>368</v>
      </c>
      <c r="T62" t="s">
        <v>441</v>
      </c>
    </row>
    <row r="63" spans="1:23" x14ac:dyDescent="0.35">
      <c r="A63" s="28" t="s">
        <v>353</v>
      </c>
      <c r="B63" t="s">
        <v>1204</v>
      </c>
      <c r="C63" s="28" t="s">
        <v>34</v>
      </c>
      <c r="E63" t="s">
        <v>1001</v>
      </c>
      <c r="F63" t="s">
        <v>1206</v>
      </c>
      <c r="H63">
        <v>1</v>
      </c>
      <c r="L63" t="s">
        <v>1202</v>
      </c>
      <c r="N63" t="s">
        <v>368</v>
      </c>
      <c r="T63" t="s">
        <v>441</v>
      </c>
    </row>
    <row r="64" spans="1:23" x14ac:dyDescent="0.35">
      <c r="A64" s="28" t="s">
        <v>353</v>
      </c>
      <c r="B64" t="s">
        <v>1717</v>
      </c>
      <c r="C64" s="28" t="s">
        <v>34</v>
      </c>
      <c r="E64" t="s">
        <v>1001</v>
      </c>
      <c r="F64" t="s">
        <v>1719</v>
      </c>
      <c r="H64">
        <v>1</v>
      </c>
      <c r="L64" t="s">
        <v>1702</v>
      </c>
      <c r="N64" t="s">
        <v>368</v>
      </c>
      <c r="T64" t="s">
        <v>441</v>
      </c>
    </row>
    <row r="65" spans="1:20" x14ac:dyDescent="0.35">
      <c r="A65" s="28" t="s">
        <v>353</v>
      </c>
      <c r="B65" t="s">
        <v>1718</v>
      </c>
      <c r="C65" s="28" t="s">
        <v>34</v>
      </c>
      <c r="E65" t="s">
        <v>1001</v>
      </c>
      <c r="F65" t="s">
        <v>1720</v>
      </c>
      <c r="H65">
        <v>1</v>
      </c>
      <c r="L65" t="s">
        <v>1703</v>
      </c>
      <c r="N65" t="s">
        <v>368</v>
      </c>
      <c r="T65" t="s">
        <v>441</v>
      </c>
    </row>
    <row r="66" spans="1:20" x14ac:dyDescent="0.35">
      <c r="A66" s="28" t="s">
        <v>353</v>
      </c>
      <c r="B66" t="s">
        <v>1203</v>
      </c>
      <c r="C66" s="28" t="s">
        <v>34</v>
      </c>
      <c r="E66" t="s">
        <v>1001</v>
      </c>
      <c r="F66" t="s">
        <v>1205</v>
      </c>
      <c r="H66">
        <v>1</v>
      </c>
      <c r="L66" t="s">
        <v>1201</v>
      </c>
      <c r="N66" t="s">
        <v>368</v>
      </c>
      <c r="T66" t="s">
        <v>441</v>
      </c>
    </row>
    <row r="67" spans="1:20" x14ac:dyDescent="0.35">
      <c r="A67" s="28" t="s">
        <v>353</v>
      </c>
      <c r="B67" t="s">
        <v>1739</v>
      </c>
      <c r="C67" s="28" t="s">
        <v>34</v>
      </c>
      <c r="E67" t="s">
        <v>1001</v>
      </c>
      <c r="F67" t="s">
        <v>1477</v>
      </c>
      <c r="H67">
        <v>1</v>
      </c>
      <c r="L67" t="s">
        <v>1678</v>
      </c>
      <c r="N67" t="s">
        <v>368</v>
      </c>
      <c r="T67" t="s">
        <v>441</v>
      </c>
    </row>
    <row r="68" spans="1:20" x14ac:dyDescent="0.35">
      <c r="A68" s="28" t="s">
        <v>353</v>
      </c>
      <c r="B68" t="s">
        <v>431</v>
      </c>
      <c r="C68" s="205" t="s">
        <v>34</v>
      </c>
      <c r="E68" t="s">
        <v>1001</v>
      </c>
      <c r="F68" t="s">
        <v>432</v>
      </c>
      <c r="H68">
        <v>0</v>
      </c>
      <c r="L68" t="s">
        <v>362</v>
      </c>
      <c r="N68" t="s">
        <v>363</v>
      </c>
      <c r="T68" t="s">
        <v>433</v>
      </c>
    </row>
    <row r="69" spans="1:20" x14ac:dyDescent="0.35">
      <c r="A69" s="28" t="s">
        <v>353</v>
      </c>
      <c r="B69" t="s">
        <v>437</v>
      </c>
      <c r="C69" s="205" t="s">
        <v>34</v>
      </c>
      <c r="E69" t="s">
        <v>1001</v>
      </c>
      <c r="F69" t="s">
        <v>438</v>
      </c>
      <c r="H69">
        <v>0</v>
      </c>
      <c r="L69" t="s">
        <v>362</v>
      </c>
      <c r="N69" t="s">
        <v>363</v>
      </c>
      <c r="T69" t="s">
        <v>439</v>
      </c>
    </row>
    <row r="70" spans="1:20" x14ac:dyDescent="0.35">
      <c r="A70" s="28" t="s">
        <v>353</v>
      </c>
      <c r="B70" t="s">
        <v>1479</v>
      </c>
      <c r="C70" s="28" t="s">
        <v>34</v>
      </c>
      <c r="E70" t="s">
        <v>1001</v>
      </c>
      <c r="F70" t="s">
        <v>1480</v>
      </c>
      <c r="H70">
        <v>0</v>
      </c>
      <c r="L70" t="s">
        <v>1478</v>
      </c>
      <c r="N70" t="s">
        <v>368</v>
      </c>
      <c r="T70" t="s">
        <v>443</v>
      </c>
    </row>
    <row r="71" spans="1:20" x14ac:dyDescent="0.35">
      <c r="A71" s="28" t="s">
        <v>353</v>
      </c>
      <c r="B71" t="s">
        <v>1208</v>
      </c>
      <c r="C71" s="28" t="s">
        <v>34</v>
      </c>
      <c r="E71" t="s">
        <v>1001</v>
      </c>
      <c r="F71" t="s">
        <v>1210</v>
      </c>
      <c r="H71">
        <v>0</v>
      </c>
      <c r="L71" t="s">
        <v>1202</v>
      </c>
      <c r="N71" t="s">
        <v>368</v>
      </c>
      <c r="T71" t="s">
        <v>443</v>
      </c>
    </row>
    <row r="72" spans="1:20" x14ac:dyDescent="0.35">
      <c r="A72" s="28" t="s">
        <v>353</v>
      </c>
      <c r="B72" t="s">
        <v>1725</v>
      </c>
      <c r="C72" s="28" t="s">
        <v>34</v>
      </c>
      <c r="E72" t="s">
        <v>1001</v>
      </c>
      <c r="F72" t="s">
        <v>1727</v>
      </c>
      <c r="H72">
        <v>0</v>
      </c>
      <c r="L72" t="s">
        <v>1702</v>
      </c>
      <c r="N72" t="s">
        <v>368</v>
      </c>
      <c r="T72" t="s">
        <v>443</v>
      </c>
    </row>
    <row r="73" spans="1:20" x14ac:dyDescent="0.35">
      <c r="A73" s="28" t="s">
        <v>353</v>
      </c>
      <c r="B73" t="s">
        <v>1726</v>
      </c>
      <c r="C73" s="28" t="s">
        <v>34</v>
      </c>
      <c r="E73" t="s">
        <v>1001</v>
      </c>
      <c r="F73" t="s">
        <v>1728</v>
      </c>
      <c r="H73">
        <v>0</v>
      </c>
      <c r="L73" t="s">
        <v>1703</v>
      </c>
      <c r="N73" t="s">
        <v>368</v>
      </c>
      <c r="T73" t="s">
        <v>443</v>
      </c>
    </row>
    <row r="74" spans="1:20" x14ac:dyDescent="0.35">
      <c r="A74" s="28" t="s">
        <v>353</v>
      </c>
      <c r="B74" t="s">
        <v>1207</v>
      </c>
      <c r="C74" s="28" t="s">
        <v>34</v>
      </c>
      <c r="E74" t="s">
        <v>1001</v>
      </c>
      <c r="F74" t="s">
        <v>1209</v>
      </c>
      <c r="H74">
        <v>0</v>
      </c>
      <c r="L74" t="s">
        <v>1201</v>
      </c>
      <c r="N74" t="s">
        <v>368</v>
      </c>
      <c r="T74" t="s">
        <v>443</v>
      </c>
    </row>
    <row r="75" spans="1:20" x14ac:dyDescent="0.35">
      <c r="A75" s="28" t="s">
        <v>353</v>
      </c>
      <c r="B75" t="s">
        <v>1740</v>
      </c>
      <c r="C75" s="28" t="s">
        <v>34</v>
      </c>
      <c r="E75" t="s">
        <v>1001</v>
      </c>
      <c r="F75" t="s">
        <v>1481</v>
      </c>
      <c r="H75">
        <v>0</v>
      </c>
      <c r="L75" t="s">
        <v>1678</v>
      </c>
      <c r="N75" t="s">
        <v>368</v>
      </c>
      <c r="T75" t="s">
        <v>443</v>
      </c>
    </row>
    <row r="76" spans="1:20" x14ac:dyDescent="0.35">
      <c r="A76" s="28" t="s">
        <v>1555</v>
      </c>
      <c r="B76" t="s">
        <v>1542</v>
      </c>
      <c r="C76" s="28" t="s">
        <v>34</v>
      </c>
      <c r="E76" t="s">
        <v>1543</v>
      </c>
      <c r="F76" t="s">
        <v>1532</v>
      </c>
      <c r="H76" s="206">
        <v>1E+40</v>
      </c>
      <c r="I76" s="206"/>
      <c r="N76" t="s">
        <v>363</v>
      </c>
      <c r="T76" t="s">
        <v>1546</v>
      </c>
    </row>
    <row r="77" spans="1:20" x14ac:dyDescent="0.35">
      <c r="A77" s="28" t="s">
        <v>1555</v>
      </c>
      <c r="B77" t="s">
        <v>1541</v>
      </c>
      <c r="C77" s="28" t="s">
        <v>34</v>
      </c>
      <c r="E77" t="s">
        <v>1543</v>
      </c>
      <c r="F77" t="s">
        <v>1531</v>
      </c>
      <c r="H77" s="206">
        <v>1E+40</v>
      </c>
      <c r="I77" s="206"/>
      <c r="N77" t="s">
        <v>363</v>
      </c>
      <c r="T77" t="s">
        <v>1545</v>
      </c>
    </row>
    <row r="78" spans="1:20" x14ac:dyDescent="0.35">
      <c r="A78" s="28" t="s">
        <v>1555</v>
      </c>
      <c r="B78" t="s">
        <v>1689</v>
      </c>
      <c r="C78" s="28" t="s">
        <v>34</v>
      </c>
      <c r="E78" t="s">
        <v>1543</v>
      </c>
      <c r="F78" t="s">
        <v>1733</v>
      </c>
      <c r="H78" s="206">
        <v>1E+40</v>
      </c>
      <c r="I78" s="206"/>
      <c r="N78" t="s">
        <v>363</v>
      </c>
      <c r="T78" t="s">
        <v>1692</v>
      </c>
    </row>
    <row r="79" spans="1:20" x14ac:dyDescent="0.35">
      <c r="A79" s="28" t="s">
        <v>1555</v>
      </c>
      <c r="B79" t="s">
        <v>1690</v>
      </c>
      <c r="C79" s="28" t="s">
        <v>34</v>
      </c>
      <c r="E79" t="s">
        <v>1543</v>
      </c>
      <c r="F79" t="s">
        <v>1691</v>
      </c>
      <c r="H79" s="206">
        <v>1E+40</v>
      </c>
      <c r="I79" s="206"/>
      <c r="N79" t="s">
        <v>363</v>
      </c>
      <c r="T79" t="s">
        <v>1693</v>
      </c>
    </row>
    <row r="80" spans="1:20" x14ac:dyDescent="0.35">
      <c r="A80" s="28" t="s">
        <v>1555</v>
      </c>
      <c r="B80" t="s">
        <v>1741</v>
      </c>
      <c r="C80" s="28" t="s">
        <v>34</v>
      </c>
      <c r="E80" t="s">
        <v>1543</v>
      </c>
      <c r="F80" t="s">
        <v>1533</v>
      </c>
      <c r="H80" s="206">
        <v>1E+40</v>
      </c>
      <c r="I80" s="206"/>
      <c r="N80" t="s">
        <v>363</v>
      </c>
      <c r="T80" t="s">
        <v>1547</v>
      </c>
    </row>
    <row r="81" spans="1:20" x14ac:dyDescent="0.35">
      <c r="A81" s="28" t="s">
        <v>1555</v>
      </c>
      <c r="B81" t="s">
        <v>1540</v>
      </c>
      <c r="C81" s="28" t="s">
        <v>34</v>
      </c>
      <c r="E81" t="s">
        <v>1543</v>
      </c>
      <c r="F81" t="s">
        <v>1530</v>
      </c>
      <c r="H81" s="206">
        <v>1E+40</v>
      </c>
      <c r="I81" s="206"/>
      <c r="N81" t="s">
        <v>363</v>
      </c>
      <c r="T81" t="s">
        <v>1544</v>
      </c>
    </row>
    <row r="82" spans="1:20" x14ac:dyDescent="0.35">
      <c r="A82" s="28" t="s">
        <v>1580</v>
      </c>
      <c r="B82" t="s">
        <v>1581</v>
      </c>
      <c r="C82" s="28" t="s">
        <v>34</v>
      </c>
      <c r="E82" t="s">
        <v>1586</v>
      </c>
      <c r="F82" t="s">
        <v>1585</v>
      </c>
      <c r="H82" s="206">
        <v>1E+40</v>
      </c>
      <c r="I82" s="206"/>
      <c r="O82" t="s">
        <v>1587</v>
      </c>
      <c r="T82" t="s">
        <v>1590</v>
      </c>
    </row>
    <row r="83" spans="1:20" x14ac:dyDescent="0.35">
      <c r="A83" s="28" t="s">
        <v>1597</v>
      </c>
      <c r="B83" t="s">
        <v>1598</v>
      </c>
      <c r="C83" s="28" t="s">
        <v>34</v>
      </c>
      <c r="E83" t="s">
        <v>1543</v>
      </c>
      <c r="F83" t="s">
        <v>1599</v>
      </c>
      <c r="H83">
        <v>0</v>
      </c>
      <c r="N83" t="s">
        <v>368</v>
      </c>
      <c r="T83" t="s">
        <v>1613</v>
      </c>
    </row>
    <row r="84" spans="1:20" x14ac:dyDescent="0.35">
      <c r="A84" s="28" t="s">
        <v>444</v>
      </c>
      <c r="B84" t="s">
        <v>445</v>
      </c>
      <c r="C84" s="28" t="s">
        <v>67</v>
      </c>
      <c r="E84" t="s">
        <v>992</v>
      </c>
      <c r="F84" t="s">
        <v>444</v>
      </c>
      <c r="I84" t="b">
        <v>1</v>
      </c>
      <c r="K84" t="s">
        <v>446</v>
      </c>
      <c r="M84" t="s">
        <v>359</v>
      </c>
      <c r="N84" t="s">
        <v>368</v>
      </c>
    </row>
    <row r="85" spans="1:20" x14ac:dyDescent="0.35">
      <c r="A85" s="28" t="s">
        <v>447</v>
      </c>
      <c r="B85" t="s">
        <v>448</v>
      </c>
      <c r="C85" s="28" t="s">
        <v>67</v>
      </c>
      <c r="E85" t="s">
        <v>993</v>
      </c>
      <c r="F85" t="s">
        <v>447</v>
      </c>
      <c r="I85" t="b">
        <v>1</v>
      </c>
      <c r="K85" t="s">
        <v>449</v>
      </c>
      <c r="N85" t="s">
        <v>368</v>
      </c>
    </row>
    <row r="86" spans="1:20" x14ac:dyDescent="0.35">
      <c r="A86" s="28" t="s">
        <v>447</v>
      </c>
      <c r="B86" t="s">
        <v>1222</v>
      </c>
      <c r="C86" s="28" t="s">
        <v>67</v>
      </c>
      <c r="E86" t="s">
        <v>993</v>
      </c>
      <c r="F86" t="s">
        <v>1221</v>
      </c>
      <c r="K86" t="s">
        <v>446</v>
      </c>
      <c r="N86" t="s">
        <v>368</v>
      </c>
    </row>
    <row r="87" spans="1:20" x14ac:dyDescent="0.35">
      <c r="A87" s="28" t="s">
        <v>447</v>
      </c>
      <c r="B87" t="s">
        <v>450</v>
      </c>
      <c r="C87" s="28" t="s">
        <v>67</v>
      </c>
      <c r="E87" t="s">
        <v>993</v>
      </c>
      <c r="F87" t="s">
        <v>451</v>
      </c>
      <c r="K87" t="s">
        <v>452</v>
      </c>
      <c r="N87" t="s">
        <v>368</v>
      </c>
    </row>
    <row r="88" spans="1:20" x14ac:dyDescent="0.35">
      <c r="A88" s="28" t="s">
        <v>973</v>
      </c>
      <c r="B88" t="s">
        <v>975</v>
      </c>
      <c r="C88" s="28" t="s">
        <v>34</v>
      </c>
      <c r="E88" t="s">
        <v>976</v>
      </c>
      <c r="F88" t="s">
        <v>558</v>
      </c>
      <c r="H88">
        <v>0</v>
      </c>
      <c r="L88" t="s">
        <v>362</v>
      </c>
      <c r="N88" t="s">
        <v>363</v>
      </c>
      <c r="P88" t="s">
        <v>559</v>
      </c>
    </row>
    <row r="89" spans="1:20" x14ac:dyDescent="0.35">
      <c r="A89" s="28" t="s">
        <v>973</v>
      </c>
      <c r="B89" t="s">
        <v>974</v>
      </c>
      <c r="C89" s="28" t="s">
        <v>34</v>
      </c>
      <c r="E89" t="s">
        <v>976</v>
      </c>
      <c r="F89" t="s">
        <v>556</v>
      </c>
      <c r="H89">
        <v>0</v>
      </c>
      <c r="L89" t="s">
        <v>362</v>
      </c>
      <c r="N89" t="s">
        <v>363</v>
      </c>
      <c r="P89" t="s">
        <v>557</v>
      </c>
    </row>
    <row r="90" spans="1:20" x14ac:dyDescent="0.35">
      <c r="A90" s="28" t="s">
        <v>71</v>
      </c>
      <c r="B90" t="s">
        <v>72</v>
      </c>
      <c r="C90" s="28" t="s">
        <v>34</v>
      </c>
      <c r="E90" t="s">
        <v>73</v>
      </c>
      <c r="F90" t="s">
        <v>71</v>
      </c>
      <c r="H90">
        <v>0</v>
      </c>
      <c r="K90" t="s">
        <v>446</v>
      </c>
      <c r="M90" t="s">
        <v>359</v>
      </c>
    </row>
    <row r="91" spans="1:20" x14ac:dyDescent="0.35">
      <c r="A91" s="28" t="s">
        <v>57</v>
      </c>
      <c r="B91" t="s">
        <v>453</v>
      </c>
      <c r="C91" s="28" t="s">
        <v>34</v>
      </c>
      <c r="E91" t="s">
        <v>41</v>
      </c>
      <c r="F91" t="s">
        <v>57</v>
      </c>
      <c r="H91">
        <v>0</v>
      </c>
      <c r="K91" t="s">
        <v>454</v>
      </c>
      <c r="L91" t="s">
        <v>371</v>
      </c>
    </row>
    <row r="92" spans="1:20" x14ac:dyDescent="0.35">
      <c r="A92" s="28" t="s">
        <v>457</v>
      </c>
      <c r="B92" t="s">
        <v>458</v>
      </c>
      <c r="C92" s="28" t="s">
        <v>34</v>
      </c>
      <c r="E92" t="s">
        <v>65</v>
      </c>
      <c r="F92" t="s">
        <v>457</v>
      </c>
      <c r="H92">
        <v>0</v>
      </c>
      <c r="K92" t="s">
        <v>454</v>
      </c>
      <c r="L92" t="s">
        <v>371</v>
      </c>
      <c r="N92" t="s">
        <v>459</v>
      </c>
    </row>
    <row r="93" spans="1:20" x14ac:dyDescent="0.35">
      <c r="A93" s="28" t="s">
        <v>460</v>
      </c>
      <c r="B93" t="s">
        <v>461</v>
      </c>
      <c r="C93" s="28" t="s">
        <v>67</v>
      </c>
      <c r="E93" t="s">
        <v>994</v>
      </c>
      <c r="F93" t="s">
        <v>462</v>
      </c>
      <c r="K93" t="s">
        <v>454</v>
      </c>
      <c r="L93" t="s">
        <v>371</v>
      </c>
      <c r="N93" t="s">
        <v>368</v>
      </c>
    </row>
    <row r="94" spans="1:20" x14ac:dyDescent="0.35">
      <c r="A94" s="28" t="s">
        <v>460</v>
      </c>
      <c r="B94" t="s">
        <v>465</v>
      </c>
      <c r="C94" s="28" t="s">
        <v>67</v>
      </c>
      <c r="E94" t="s">
        <v>994</v>
      </c>
      <c r="F94" t="s">
        <v>68</v>
      </c>
      <c r="K94" t="s">
        <v>454</v>
      </c>
      <c r="L94" t="s">
        <v>371</v>
      </c>
      <c r="N94" t="s">
        <v>459</v>
      </c>
    </row>
    <row r="95" spans="1:20" x14ac:dyDescent="0.35">
      <c r="A95" s="28" t="s">
        <v>460</v>
      </c>
      <c r="B95" t="s">
        <v>463</v>
      </c>
      <c r="C95" s="28" t="s">
        <v>67</v>
      </c>
      <c r="E95" t="s">
        <v>994</v>
      </c>
      <c r="F95" t="s">
        <v>66</v>
      </c>
      <c r="K95" t="s">
        <v>454</v>
      </c>
      <c r="L95" t="s">
        <v>371</v>
      </c>
      <c r="N95" t="s">
        <v>464</v>
      </c>
    </row>
    <row r="96" spans="1:20" x14ac:dyDescent="0.35">
      <c r="A96" s="28" t="s">
        <v>460</v>
      </c>
      <c r="B96" t="s">
        <v>467</v>
      </c>
      <c r="C96" s="28" t="s">
        <v>67</v>
      </c>
      <c r="E96" t="s">
        <v>994</v>
      </c>
      <c r="F96" t="s">
        <v>70</v>
      </c>
      <c r="K96" t="s">
        <v>456</v>
      </c>
      <c r="L96" t="s">
        <v>371</v>
      </c>
      <c r="N96" t="s">
        <v>368</v>
      </c>
    </row>
    <row r="97" spans="1:23" s="157" customFormat="1" x14ac:dyDescent="0.35">
      <c r="A97" s="28" t="s">
        <v>460</v>
      </c>
      <c r="B97" t="s">
        <v>466</v>
      </c>
      <c r="C97" s="28" t="s">
        <v>67</v>
      </c>
      <c r="D97"/>
      <c r="E97" t="s">
        <v>994</v>
      </c>
      <c r="F97" t="s">
        <v>69</v>
      </c>
      <c r="G97"/>
      <c r="H97"/>
      <c r="I97"/>
      <c r="J97"/>
      <c r="K97" t="s">
        <v>455</v>
      </c>
      <c r="L97" t="s">
        <v>371</v>
      </c>
      <c r="M97"/>
      <c r="N97" t="s">
        <v>368</v>
      </c>
      <c r="O97"/>
      <c r="P97"/>
      <c r="Q97"/>
      <c r="R97"/>
      <c r="S97"/>
      <c r="T97"/>
      <c r="U97"/>
      <c r="V97"/>
      <c r="W97"/>
    </row>
    <row r="98" spans="1:23" x14ac:dyDescent="0.35">
      <c r="A98" s="101" t="s">
        <v>468</v>
      </c>
      <c r="B98" s="100" t="s">
        <v>1033</v>
      </c>
      <c r="C98" s="101" t="s">
        <v>4</v>
      </c>
      <c r="D98" s="100"/>
      <c r="E98" s="100" t="s">
        <v>114</v>
      </c>
      <c r="F98" s="100" t="s">
        <v>469</v>
      </c>
      <c r="G98" s="100" t="s">
        <v>470</v>
      </c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 t="s">
        <v>414</v>
      </c>
      <c r="S98" s="100"/>
      <c r="T98" s="100"/>
      <c r="U98" s="100"/>
      <c r="V98" s="100"/>
      <c r="W98" s="100"/>
    </row>
    <row r="99" spans="1:23" x14ac:dyDescent="0.35">
      <c r="A99" s="101" t="s">
        <v>468</v>
      </c>
      <c r="B99" s="100" t="s">
        <v>1034</v>
      </c>
      <c r="C99" s="101" t="s">
        <v>4</v>
      </c>
      <c r="D99" s="100"/>
      <c r="E99" s="100" t="s">
        <v>114</v>
      </c>
      <c r="F99" s="100" t="s">
        <v>471</v>
      </c>
      <c r="G99" s="100" t="s">
        <v>470</v>
      </c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 t="s">
        <v>406</v>
      </c>
      <c r="S99" s="100"/>
      <c r="T99" s="100"/>
      <c r="U99" s="100"/>
      <c r="V99" s="100"/>
      <c r="W99" s="100"/>
    </row>
    <row r="100" spans="1:23" x14ac:dyDescent="0.35">
      <c r="A100" s="101" t="s">
        <v>468</v>
      </c>
      <c r="B100" s="100" t="s">
        <v>1085</v>
      </c>
      <c r="C100" s="101" t="s">
        <v>4</v>
      </c>
      <c r="D100" s="100"/>
      <c r="E100" s="100" t="s">
        <v>114</v>
      </c>
      <c r="F100" s="100" t="s">
        <v>1087</v>
      </c>
      <c r="G100" s="100" t="s">
        <v>470</v>
      </c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 t="s">
        <v>1080</v>
      </c>
      <c r="S100" s="100"/>
      <c r="T100" s="100"/>
      <c r="U100" s="100"/>
      <c r="V100" s="100"/>
      <c r="W100" s="100"/>
    </row>
    <row r="101" spans="1:23" x14ac:dyDescent="0.35">
      <c r="A101" s="101" t="s">
        <v>468</v>
      </c>
      <c r="B101" s="100" t="s">
        <v>1086</v>
      </c>
      <c r="C101" s="101" t="s">
        <v>4</v>
      </c>
      <c r="D101" s="100"/>
      <c r="E101" s="100" t="s">
        <v>114</v>
      </c>
      <c r="F101" s="100" t="s">
        <v>1084</v>
      </c>
      <c r="G101" s="100" t="s">
        <v>470</v>
      </c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 t="s">
        <v>1088</v>
      </c>
      <c r="S101" s="100"/>
      <c r="T101" s="100"/>
      <c r="U101" s="100"/>
      <c r="V101" s="100"/>
      <c r="W101" s="100"/>
    </row>
    <row r="102" spans="1:23" s="204" customFormat="1" x14ac:dyDescent="0.35">
      <c r="A102" s="203" t="s">
        <v>468</v>
      </c>
      <c r="B102" s="204" t="s">
        <v>1885</v>
      </c>
      <c r="C102" s="203" t="s">
        <v>4</v>
      </c>
      <c r="E102" s="204" t="s">
        <v>114</v>
      </c>
      <c r="F102" s="204" t="s">
        <v>1886</v>
      </c>
      <c r="G102" s="204" t="s">
        <v>470</v>
      </c>
      <c r="R102" s="204" t="s">
        <v>1887</v>
      </c>
    </row>
    <row r="103" spans="1:23" s="204" customFormat="1" x14ac:dyDescent="0.35">
      <c r="A103" s="203" t="s">
        <v>468</v>
      </c>
      <c r="B103" s="204" t="s">
        <v>1907</v>
      </c>
      <c r="C103" s="203" t="s">
        <v>4</v>
      </c>
      <c r="E103" s="204" t="s">
        <v>114</v>
      </c>
      <c r="F103" s="204" t="s">
        <v>1908</v>
      </c>
      <c r="G103" s="204" t="s">
        <v>470</v>
      </c>
      <c r="R103" s="204" t="s">
        <v>1909</v>
      </c>
    </row>
    <row r="104" spans="1:23" x14ac:dyDescent="0.35">
      <c r="A104" s="101" t="s">
        <v>472</v>
      </c>
      <c r="B104" s="100" t="s">
        <v>473</v>
      </c>
      <c r="C104" s="101" t="s">
        <v>4</v>
      </c>
      <c r="D104" s="100"/>
      <c r="E104" s="100" t="s">
        <v>56</v>
      </c>
      <c r="F104" s="100" t="s">
        <v>472</v>
      </c>
      <c r="G104" s="100" t="s">
        <v>470</v>
      </c>
      <c r="H104" s="100"/>
      <c r="I104" s="100"/>
      <c r="J104" s="100"/>
      <c r="K104" s="100"/>
      <c r="L104" s="100"/>
      <c r="M104" s="100" t="s">
        <v>359</v>
      </c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</row>
    <row r="105" spans="1:23" x14ac:dyDescent="0.35">
      <c r="A105" s="101" t="s">
        <v>474</v>
      </c>
      <c r="B105" s="100" t="s">
        <v>475</v>
      </c>
      <c r="C105" s="101" t="s">
        <v>4</v>
      </c>
      <c r="D105" s="100"/>
      <c r="E105" s="100" t="s">
        <v>345</v>
      </c>
      <c r="F105" s="100" t="s">
        <v>474</v>
      </c>
      <c r="G105" s="100" t="s">
        <v>470</v>
      </c>
      <c r="H105" s="100"/>
      <c r="I105" s="100"/>
      <c r="J105" s="100"/>
      <c r="K105" s="100" t="s">
        <v>449</v>
      </c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</row>
    <row r="106" spans="1:23" x14ac:dyDescent="0.35">
      <c r="A106" s="101" t="s">
        <v>476</v>
      </c>
      <c r="B106" s="100" t="s">
        <v>477</v>
      </c>
      <c r="C106" s="101" t="s">
        <v>4</v>
      </c>
      <c r="D106" s="100"/>
      <c r="E106" s="100" t="s">
        <v>98</v>
      </c>
      <c r="F106" s="100" t="s">
        <v>476</v>
      </c>
      <c r="G106" s="100" t="s">
        <v>470</v>
      </c>
      <c r="H106" s="100"/>
      <c r="I106" s="100"/>
      <c r="J106" s="100"/>
      <c r="K106" s="100"/>
      <c r="L106" s="100"/>
      <c r="M106" s="100"/>
      <c r="N106" s="100"/>
      <c r="O106" s="100" t="s">
        <v>1099</v>
      </c>
      <c r="P106" s="100"/>
      <c r="Q106" s="100"/>
      <c r="R106" s="100"/>
      <c r="S106" s="100"/>
      <c r="T106" s="100"/>
      <c r="U106" s="100"/>
      <c r="V106" s="100"/>
      <c r="W106" s="100"/>
    </row>
    <row r="107" spans="1:23" s="204" customFormat="1" x14ac:dyDescent="0.35">
      <c r="A107" s="203" t="s">
        <v>476</v>
      </c>
      <c r="B107" s="204" t="s">
        <v>1848</v>
      </c>
      <c r="C107" s="203" t="s">
        <v>4</v>
      </c>
      <c r="E107" s="204" t="s">
        <v>98</v>
      </c>
      <c r="F107" s="204" t="s">
        <v>1846</v>
      </c>
      <c r="G107" s="204" t="s">
        <v>470</v>
      </c>
      <c r="O107" s="204" t="s">
        <v>1850</v>
      </c>
    </row>
    <row r="108" spans="1:23" s="204" customFormat="1" x14ac:dyDescent="0.35">
      <c r="A108" s="203" t="s">
        <v>476</v>
      </c>
      <c r="B108" s="204" t="s">
        <v>1849</v>
      </c>
      <c r="C108" s="203" t="s">
        <v>4</v>
      </c>
      <c r="E108" s="204" t="s">
        <v>98</v>
      </c>
      <c r="F108" s="204" t="s">
        <v>1847</v>
      </c>
      <c r="G108" s="204" t="s">
        <v>470</v>
      </c>
      <c r="O108" s="204" t="s">
        <v>1851</v>
      </c>
    </row>
    <row r="109" spans="1:23" x14ac:dyDescent="0.35">
      <c r="A109" s="101" t="s">
        <v>1044</v>
      </c>
      <c r="B109" s="100" t="s">
        <v>1041</v>
      </c>
      <c r="C109" s="101" t="s">
        <v>4</v>
      </c>
      <c r="D109" s="100"/>
      <c r="E109" s="100" t="s">
        <v>344</v>
      </c>
      <c r="F109" s="100" t="s">
        <v>1044</v>
      </c>
      <c r="G109" s="100" t="s">
        <v>470</v>
      </c>
      <c r="H109" s="100"/>
      <c r="I109" s="100"/>
      <c r="J109" s="100" t="s">
        <v>1042</v>
      </c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</row>
    <row r="110" spans="1:23" s="204" customFormat="1" x14ac:dyDescent="0.35">
      <c r="A110" s="203" t="s">
        <v>1044</v>
      </c>
      <c r="B110" s="204" t="s">
        <v>1835</v>
      </c>
      <c r="C110" s="203" t="s">
        <v>4</v>
      </c>
      <c r="E110" s="204" t="s">
        <v>344</v>
      </c>
      <c r="F110" s="204" t="s">
        <v>1834</v>
      </c>
      <c r="G110" s="204" t="s">
        <v>470</v>
      </c>
      <c r="J110" s="204" t="s">
        <v>1837</v>
      </c>
    </row>
    <row r="111" spans="1:23" x14ac:dyDescent="0.35">
      <c r="A111" s="28" t="s">
        <v>47</v>
      </c>
      <c r="B111" t="s">
        <v>478</v>
      </c>
      <c r="C111" s="28" t="s">
        <v>34</v>
      </c>
      <c r="E111" t="s">
        <v>479</v>
      </c>
      <c r="F111" t="s">
        <v>47</v>
      </c>
      <c r="H111">
        <v>0</v>
      </c>
      <c r="J111" t="s">
        <v>480</v>
      </c>
      <c r="L111" t="s">
        <v>367</v>
      </c>
    </row>
    <row r="112" spans="1:23" x14ac:dyDescent="0.35">
      <c r="A112" s="28" t="s">
        <v>47</v>
      </c>
      <c r="B112" t="s">
        <v>487</v>
      </c>
      <c r="C112" s="28" t="s">
        <v>34</v>
      </c>
      <c r="E112" t="s">
        <v>479</v>
      </c>
      <c r="F112" t="s">
        <v>51</v>
      </c>
      <c r="H112">
        <v>0</v>
      </c>
      <c r="J112" t="s">
        <v>488</v>
      </c>
      <c r="L112" t="s">
        <v>489</v>
      </c>
    </row>
    <row r="113" spans="1:23" x14ac:dyDescent="0.35">
      <c r="A113" s="28" t="s">
        <v>47</v>
      </c>
      <c r="B113" t="s">
        <v>484</v>
      </c>
      <c r="C113" s="28" t="s">
        <v>34</v>
      </c>
      <c r="E113" t="s">
        <v>479</v>
      </c>
      <c r="F113" t="s">
        <v>50</v>
      </c>
      <c r="H113">
        <v>0</v>
      </c>
      <c r="J113" t="s">
        <v>485</v>
      </c>
      <c r="L113" t="s">
        <v>486</v>
      </c>
    </row>
    <row r="114" spans="1:23" s="204" customFormat="1" x14ac:dyDescent="0.35">
      <c r="A114" s="28" t="s">
        <v>47</v>
      </c>
      <c r="B114" t="s">
        <v>481</v>
      </c>
      <c r="C114" s="28" t="s">
        <v>34</v>
      </c>
      <c r="D114"/>
      <c r="E114" t="s">
        <v>479</v>
      </c>
      <c r="F114" t="s">
        <v>49</v>
      </c>
      <c r="G114"/>
      <c r="H114">
        <v>0</v>
      </c>
      <c r="I114"/>
      <c r="J114" t="s">
        <v>482</v>
      </c>
      <c r="K114"/>
      <c r="L114" t="s">
        <v>483</v>
      </c>
      <c r="M114"/>
      <c r="N114"/>
      <c r="O114"/>
      <c r="P114"/>
      <c r="Q114"/>
      <c r="R114"/>
      <c r="S114"/>
      <c r="T114"/>
      <c r="U114"/>
      <c r="V114"/>
      <c r="W114"/>
    </row>
    <row r="115" spans="1:23" s="204" customFormat="1" x14ac:dyDescent="0.35">
      <c r="A115" s="203" t="s">
        <v>47</v>
      </c>
      <c r="B115" s="204" t="s">
        <v>1789</v>
      </c>
      <c r="C115" s="203" t="s">
        <v>34</v>
      </c>
      <c r="E115" s="204" t="s">
        <v>479</v>
      </c>
      <c r="F115" s="204" t="s">
        <v>1790</v>
      </c>
      <c r="H115" s="204">
        <v>0</v>
      </c>
      <c r="J115" s="204" t="s">
        <v>1791</v>
      </c>
      <c r="L115" s="204" t="s">
        <v>1792</v>
      </c>
    </row>
    <row r="116" spans="1:23" x14ac:dyDescent="0.35">
      <c r="A116" s="203" t="s">
        <v>47</v>
      </c>
      <c r="B116" s="204" t="s">
        <v>1801</v>
      </c>
      <c r="C116" s="203" t="s">
        <v>34</v>
      </c>
      <c r="D116" s="204"/>
      <c r="E116" s="204" t="s">
        <v>479</v>
      </c>
      <c r="F116" s="204" t="s">
        <v>1802</v>
      </c>
      <c r="G116" s="204"/>
      <c r="H116" s="204">
        <v>0</v>
      </c>
      <c r="I116" s="204"/>
      <c r="J116" s="204" t="s">
        <v>1803</v>
      </c>
      <c r="K116" s="204"/>
      <c r="L116" s="204" t="s">
        <v>1804</v>
      </c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</row>
    <row r="117" spans="1:23" x14ac:dyDescent="0.35">
      <c r="A117" s="101" t="s">
        <v>1883</v>
      </c>
      <c r="B117" s="100" t="s">
        <v>1562</v>
      </c>
      <c r="C117" s="101" t="s">
        <v>4</v>
      </c>
      <c r="D117" s="100"/>
      <c r="E117" s="100" t="s">
        <v>111</v>
      </c>
      <c r="F117" s="101" t="s">
        <v>1558</v>
      </c>
      <c r="G117" s="100" t="s">
        <v>470</v>
      </c>
      <c r="H117" s="100"/>
      <c r="I117" s="100"/>
      <c r="J117" s="100"/>
      <c r="K117" s="100"/>
      <c r="L117" s="100" t="s">
        <v>1478</v>
      </c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</row>
    <row r="118" spans="1:23" x14ac:dyDescent="0.35">
      <c r="A118" s="101" t="s">
        <v>1883</v>
      </c>
      <c r="B118" s="100" t="s">
        <v>1560</v>
      </c>
      <c r="C118" s="101" t="s">
        <v>4</v>
      </c>
      <c r="D118" s="100"/>
      <c r="E118" s="100" t="s">
        <v>111</v>
      </c>
      <c r="F118" s="101" t="s">
        <v>1557</v>
      </c>
      <c r="G118" s="100" t="s">
        <v>470</v>
      </c>
      <c r="H118" s="100"/>
      <c r="I118" s="100"/>
      <c r="J118" s="100"/>
      <c r="K118" s="100"/>
      <c r="L118" s="100" t="s">
        <v>1202</v>
      </c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</row>
    <row r="119" spans="1:23" x14ac:dyDescent="0.35">
      <c r="A119" s="101" t="s">
        <v>1883</v>
      </c>
      <c r="B119" t="s">
        <v>1698</v>
      </c>
      <c r="C119" s="28" t="s">
        <v>4</v>
      </c>
      <c r="E119" t="s">
        <v>111</v>
      </c>
      <c r="F119" s="28" t="s">
        <v>1700</v>
      </c>
      <c r="G119" t="s">
        <v>470</v>
      </c>
      <c r="L119" t="s">
        <v>1702</v>
      </c>
    </row>
    <row r="120" spans="1:23" x14ac:dyDescent="0.35">
      <c r="A120" s="101" t="s">
        <v>1883</v>
      </c>
      <c r="B120" t="s">
        <v>1699</v>
      </c>
      <c r="C120" s="28" t="s">
        <v>4</v>
      </c>
      <c r="E120" t="s">
        <v>111</v>
      </c>
      <c r="F120" s="28" t="s">
        <v>1701</v>
      </c>
      <c r="G120" t="s">
        <v>470</v>
      </c>
      <c r="L120" t="s">
        <v>1703</v>
      </c>
    </row>
    <row r="121" spans="1:23" x14ac:dyDescent="0.35">
      <c r="A121" s="101" t="s">
        <v>1883</v>
      </c>
      <c r="B121" t="s">
        <v>1228</v>
      </c>
      <c r="C121" s="28" t="s">
        <v>4</v>
      </c>
      <c r="E121" t="s">
        <v>111</v>
      </c>
      <c r="F121" t="s">
        <v>1556</v>
      </c>
      <c r="G121" t="s">
        <v>470</v>
      </c>
      <c r="L121" t="s">
        <v>1201</v>
      </c>
    </row>
    <row r="122" spans="1:23" x14ac:dyDescent="0.35">
      <c r="A122" s="101" t="s">
        <v>1883</v>
      </c>
      <c r="B122" s="100" t="s">
        <v>1569</v>
      </c>
      <c r="C122" s="101" t="s">
        <v>4</v>
      </c>
      <c r="D122" s="100"/>
      <c r="E122" s="100" t="s">
        <v>111</v>
      </c>
      <c r="F122" s="100" t="s">
        <v>1570</v>
      </c>
      <c r="G122" s="100" t="s">
        <v>470</v>
      </c>
      <c r="H122" s="100"/>
      <c r="I122" s="100"/>
      <c r="J122" s="100"/>
      <c r="K122" s="100"/>
      <c r="L122" s="100" t="s">
        <v>1606</v>
      </c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</row>
    <row r="123" spans="1:23" x14ac:dyDescent="0.35">
      <c r="A123" s="101" t="s">
        <v>1883</v>
      </c>
      <c r="B123" s="100" t="s">
        <v>1561</v>
      </c>
      <c r="C123" s="101" t="s">
        <v>4</v>
      </c>
      <c r="D123" s="100"/>
      <c r="E123" s="100" t="s">
        <v>111</v>
      </c>
      <c r="F123" s="101" t="s">
        <v>1559</v>
      </c>
      <c r="G123" s="100" t="s">
        <v>470</v>
      </c>
      <c r="H123" s="100"/>
      <c r="I123" s="100"/>
      <c r="J123" s="100"/>
      <c r="K123" s="100"/>
      <c r="L123" s="100" t="s">
        <v>1678</v>
      </c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</row>
    <row r="124" spans="1:23" x14ac:dyDescent="0.35">
      <c r="A124" s="101" t="s">
        <v>1883</v>
      </c>
      <c r="B124" s="100" t="s">
        <v>491</v>
      </c>
      <c r="C124" s="101" t="s">
        <v>4</v>
      </c>
      <c r="D124" s="100"/>
      <c r="E124" s="100" t="s">
        <v>111</v>
      </c>
      <c r="F124" s="100" t="s">
        <v>490</v>
      </c>
      <c r="G124" s="100" t="s">
        <v>470</v>
      </c>
      <c r="H124" s="100"/>
      <c r="I124" s="100"/>
      <c r="J124" s="100"/>
      <c r="K124" s="100"/>
      <c r="L124" s="100" t="s">
        <v>492</v>
      </c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</row>
    <row r="125" spans="1:23" x14ac:dyDescent="0.35">
      <c r="A125" s="101" t="s">
        <v>1883</v>
      </c>
      <c r="B125" s="100" t="s">
        <v>494</v>
      </c>
      <c r="C125" s="101" t="s">
        <v>4</v>
      </c>
      <c r="D125" s="100"/>
      <c r="E125" s="100" t="s">
        <v>111</v>
      </c>
      <c r="F125" s="100" t="s">
        <v>493</v>
      </c>
      <c r="G125" s="100" t="s">
        <v>470</v>
      </c>
      <c r="H125" s="100"/>
      <c r="I125" s="100"/>
      <c r="J125" s="100"/>
      <c r="K125" s="100"/>
      <c r="L125" s="100" t="s">
        <v>495</v>
      </c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</row>
    <row r="126" spans="1:23" x14ac:dyDescent="0.35">
      <c r="A126" s="101" t="s">
        <v>1883</v>
      </c>
      <c r="B126" s="100" t="s">
        <v>1608</v>
      </c>
      <c r="C126" s="101" t="s">
        <v>4</v>
      </c>
      <c r="D126" s="100"/>
      <c r="E126" s="100" t="s">
        <v>111</v>
      </c>
      <c r="F126" s="100" t="s">
        <v>1609</v>
      </c>
      <c r="G126" s="100" t="s">
        <v>470</v>
      </c>
      <c r="H126" s="100"/>
      <c r="I126" s="100"/>
      <c r="J126" s="100"/>
      <c r="K126" s="100"/>
      <c r="L126" s="100" t="s">
        <v>1610</v>
      </c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</row>
    <row r="127" spans="1:23" s="157" customFormat="1" x14ac:dyDescent="0.35">
      <c r="A127" s="101" t="s">
        <v>1883</v>
      </c>
      <c r="B127" s="100" t="s">
        <v>497</v>
      </c>
      <c r="C127" s="101" t="s">
        <v>4</v>
      </c>
      <c r="D127" s="100"/>
      <c r="E127" s="100" t="s">
        <v>111</v>
      </c>
      <c r="F127" s="100" t="s">
        <v>496</v>
      </c>
      <c r="G127" s="100" t="s">
        <v>470</v>
      </c>
      <c r="H127" s="100"/>
      <c r="I127" s="100"/>
      <c r="J127" s="100"/>
      <c r="K127" s="100"/>
      <c r="L127" s="100" t="s">
        <v>498</v>
      </c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</row>
    <row r="128" spans="1:23" s="157" customFormat="1" x14ac:dyDescent="0.35">
      <c r="A128" s="101" t="s">
        <v>499</v>
      </c>
      <c r="B128" s="100" t="s">
        <v>500</v>
      </c>
      <c r="C128" s="101" t="s">
        <v>4</v>
      </c>
      <c r="D128" s="100"/>
      <c r="E128" s="100" t="s">
        <v>62</v>
      </c>
      <c r="F128" s="100" t="s">
        <v>499</v>
      </c>
      <c r="G128" s="100" t="s">
        <v>470</v>
      </c>
      <c r="H128" s="100"/>
      <c r="I128" s="100"/>
      <c r="J128" s="100"/>
      <c r="K128" s="100"/>
      <c r="L128" s="100"/>
      <c r="M128" s="100"/>
      <c r="N128" s="100" t="s">
        <v>359</v>
      </c>
      <c r="O128" s="100"/>
      <c r="P128" s="100"/>
      <c r="Q128" s="100"/>
      <c r="R128" s="100"/>
      <c r="S128" s="100"/>
      <c r="T128" s="100"/>
      <c r="U128" s="100"/>
      <c r="V128" s="100"/>
      <c r="W128" s="100"/>
    </row>
    <row r="129" spans="1:23" x14ac:dyDescent="0.35">
      <c r="A129" s="101" t="s">
        <v>499</v>
      </c>
      <c r="B129" s="100" t="s">
        <v>500</v>
      </c>
      <c r="C129" s="101" t="s">
        <v>4</v>
      </c>
      <c r="D129" s="100"/>
      <c r="E129" s="100" t="s">
        <v>62</v>
      </c>
      <c r="F129" s="100" t="s">
        <v>1594</v>
      </c>
      <c r="G129" s="100" t="s">
        <v>470</v>
      </c>
      <c r="H129" s="100"/>
      <c r="I129" s="100"/>
      <c r="J129" s="100"/>
      <c r="K129" s="100"/>
      <c r="L129" s="100"/>
      <c r="M129" s="100"/>
      <c r="N129" s="100" t="s">
        <v>1621</v>
      </c>
      <c r="O129" s="100"/>
      <c r="P129" s="100"/>
      <c r="Q129" s="100"/>
      <c r="R129" s="100"/>
      <c r="S129" s="100"/>
      <c r="T129" s="100"/>
      <c r="U129" s="100"/>
      <c r="V129" s="100"/>
      <c r="W129" s="100"/>
    </row>
    <row r="130" spans="1:23" s="204" customFormat="1" x14ac:dyDescent="0.35">
      <c r="A130" s="28" t="s">
        <v>52</v>
      </c>
      <c r="B130" t="s">
        <v>501</v>
      </c>
      <c r="C130" s="28" t="s">
        <v>34</v>
      </c>
      <c r="D130"/>
      <c r="E130" t="s">
        <v>84</v>
      </c>
      <c r="F130" t="s">
        <v>52</v>
      </c>
      <c r="G130"/>
      <c r="H130">
        <v>0</v>
      </c>
      <c r="I130"/>
      <c r="J130" t="s">
        <v>502</v>
      </c>
      <c r="K130" t="s">
        <v>449</v>
      </c>
      <c r="L130"/>
      <c r="M130"/>
      <c r="N130" t="s">
        <v>368</v>
      </c>
      <c r="O130"/>
      <c r="P130"/>
      <c r="Q130"/>
      <c r="R130"/>
      <c r="S130"/>
      <c r="T130"/>
      <c r="U130"/>
      <c r="V130"/>
      <c r="W130"/>
    </row>
    <row r="131" spans="1:23" s="204" customFormat="1" x14ac:dyDescent="0.35">
      <c r="A131" s="203" t="s">
        <v>52</v>
      </c>
      <c r="B131" s="204" t="s">
        <v>1786</v>
      </c>
      <c r="C131" s="203" t="s">
        <v>34</v>
      </c>
      <c r="E131" s="204" t="s">
        <v>84</v>
      </c>
      <c r="F131" s="204" t="s">
        <v>1785</v>
      </c>
      <c r="H131" s="204">
        <v>0</v>
      </c>
      <c r="J131" s="204" t="s">
        <v>502</v>
      </c>
      <c r="K131" s="204" t="s">
        <v>1770</v>
      </c>
      <c r="N131" s="204" t="s">
        <v>368</v>
      </c>
    </row>
    <row r="132" spans="1:23" x14ac:dyDescent="0.35">
      <c r="A132" s="203" t="s">
        <v>52</v>
      </c>
      <c r="B132" s="204" t="s">
        <v>1798</v>
      </c>
      <c r="C132" s="203" t="s">
        <v>34</v>
      </c>
      <c r="D132" s="204"/>
      <c r="E132" s="204" t="s">
        <v>84</v>
      </c>
      <c r="F132" s="204" t="s">
        <v>1797</v>
      </c>
      <c r="G132" s="204"/>
      <c r="H132" s="204">
        <v>0</v>
      </c>
      <c r="I132" s="204"/>
      <c r="J132" s="204" t="s">
        <v>502</v>
      </c>
      <c r="K132" s="204" t="s">
        <v>1766</v>
      </c>
      <c r="L132" s="204"/>
      <c r="M132" s="204"/>
      <c r="N132" s="204" t="s">
        <v>368</v>
      </c>
      <c r="O132" s="204"/>
      <c r="P132" s="204"/>
      <c r="Q132" s="204"/>
      <c r="R132" s="204"/>
      <c r="S132" s="204"/>
      <c r="T132" s="204"/>
      <c r="U132" s="204"/>
      <c r="V132" s="204"/>
      <c r="W132" s="204"/>
    </row>
    <row r="133" spans="1:23" x14ac:dyDescent="0.35">
      <c r="A133" s="28" t="s">
        <v>86</v>
      </c>
      <c r="B133" t="s">
        <v>503</v>
      </c>
      <c r="C133" s="28" t="s">
        <v>67</v>
      </c>
      <c r="E133" t="s">
        <v>995</v>
      </c>
      <c r="F133" t="s">
        <v>87</v>
      </c>
      <c r="J133" t="s">
        <v>502</v>
      </c>
      <c r="K133" t="s">
        <v>449</v>
      </c>
      <c r="N133" t="s">
        <v>368</v>
      </c>
    </row>
    <row r="134" spans="1:23" x14ac:dyDescent="0.35">
      <c r="A134" s="28" t="s">
        <v>86</v>
      </c>
      <c r="B134" t="s">
        <v>504</v>
      </c>
      <c r="C134" s="28" t="s">
        <v>67</v>
      </c>
      <c r="E134" t="s">
        <v>995</v>
      </c>
      <c r="F134" t="s">
        <v>88</v>
      </c>
      <c r="J134" t="s">
        <v>502</v>
      </c>
      <c r="K134" t="s">
        <v>446</v>
      </c>
      <c r="N134" t="s">
        <v>368</v>
      </c>
    </row>
    <row r="135" spans="1:23" x14ac:dyDescent="0.35">
      <c r="A135" s="28" t="s">
        <v>89</v>
      </c>
      <c r="B135" t="s">
        <v>505</v>
      </c>
      <c r="C135" s="28" t="s">
        <v>67</v>
      </c>
      <c r="E135" t="s">
        <v>992</v>
      </c>
      <c r="F135" t="s">
        <v>90</v>
      </c>
      <c r="K135" t="s">
        <v>446</v>
      </c>
      <c r="M135" t="s">
        <v>359</v>
      </c>
      <c r="N135" t="s">
        <v>368</v>
      </c>
    </row>
    <row r="136" spans="1:23" x14ac:dyDescent="0.35">
      <c r="A136" s="28" t="s">
        <v>1089</v>
      </c>
      <c r="B136" t="s">
        <v>1896</v>
      </c>
      <c r="C136" s="28" t="s">
        <v>34</v>
      </c>
      <c r="E136" t="s">
        <v>1058</v>
      </c>
      <c r="F136" t="s">
        <v>1089</v>
      </c>
      <c r="H136">
        <v>0</v>
      </c>
      <c r="J136" t="s">
        <v>502</v>
      </c>
      <c r="K136" t="s">
        <v>449</v>
      </c>
      <c r="N136" t="s">
        <v>368</v>
      </c>
      <c r="R136" t="s">
        <v>1036</v>
      </c>
    </row>
    <row r="137" spans="1:23" s="204" customFormat="1" x14ac:dyDescent="0.35">
      <c r="A137" s="203" t="s">
        <v>1897</v>
      </c>
      <c r="B137" s="204" t="s">
        <v>1898</v>
      </c>
      <c r="C137" s="203" t="s">
        <v>1918</v>
      </c>
      <c r="E137" s="204" t="s">
        <v>1817</v>
      </c>
      <c r="F137" s="204" t="s">
        <v>1897</v>
      </c>
      <c r="H137" s="204">
        <v>0</v>
      </c>
      <c r="K137" s="204" t="s">
        <v>449</v>
      </c>
      <c r="N137" s="204" t="s">
        <v>368</v>
      </c>
      <c r="R137" s="204" t="s">
        <v>1036</v>
      </c>
    </row>
    <row r="138" spans="1:23" s="204" customFormat="1" x14ac:dyDescent="0.35">
      <c r="A138" s="203" t="s">
        <v>1897</v>
      </c>
      <c r="B138" s="204" t="s">
        <v>1899</v>
      </c>
      <c r="C138" s="203" t="s">
        <v>1918</v>
      </c>
      <c r="E138" s="204" t="s">
        <v>1817</v>
      </c>
      <c r="F138" s="204" t="s">
        <v>1903</v>
      </c>
      <c r="H138" s="204">
        <v>0</v>
      </c>
      <c r="K138" s="204" t="s">
        <v>449</v>
      </c>
      <c r="N138" s="204" t="s">
        <v>368</v>
      </c>
      <c r="R138" s="204" t="s">
        <v>1900</v>
      </c>
    </row>
    <row r="139" spans="1:23" s="204" customFormat="1" x14ac:dyDescent="0.35">
      <c r="A139" s="203" t="s">
        <v>1912</v>
      </c>
      <c r="B139" s="204" t="s">
        <v>1913</v>
      </c>
      <c r="C139" s="203" t="s">
        <v>1918</v>
      </c>
      <c r="E139" s="204" t="s">
        <v>993</v>
      </c>
      <c r="F139" s="204" t="s">
        <v>1912</v>
      </c>
      <c r="H139" s="204">
        <v>0</v>
      </c>
      <c r="K139" s="204" t="s">
        <v>449</v>
      </c>
      <c r="N139" s="204" t="s">
        <v>368</v>
      </c>
    </row>
    <row r="140" spans="1:23" s="204" customFormat="1" x14ac:dyDescent="0.35">
      <c r="A140" s="203" t="s">
        <v>1816</v>
      </c>
      <c r="B140" s="204" t="s">
        <v>1861</v>
      </c>
      <c r="C140" s="203" t="s">
        <v>67</v>
      </c>
      <c r="E140" s="204" t="s">
        <v>1817</v>
      </c>
      <c r="F140" s="204" t="s">
        <v>1860</v>
      </c>
      <c r="K140" s="204" t="s">
        <v>449</v>
      </c>
      <c r="N140" s="204" t="s">
        <v>368</v>
      </c>
      <c r="R140" s="204" t="s">
        <v>1818</v>
      </c>
    </row>
    <row r="141" spans="1:23" s="204" customFormat="1" x14ac:dyDescent="0.35">
      <c r="A141" s="203" t="s">
        <v>1816</v>
      </c>
      <c r="B141" s="204" t="s">
        <v>1863</v>
      </c>
      <c r="C141" s="203" t="s">
        <v>67</v>
      </c>
      <c r="E141" s="204" t="s">
        <v>1817</v>
      </c>
      <c r="F141" s="204" t="s">
        <v>1862</v>
      </c>
      <c r="K141" s="204" t="s">
        <v>449</v>
      </c>
      <c r="N141" s="204" t="s">
        <v>368</v>
      </c>
      <c r="R141" s="204" t="s">
        <v>404</v>
      </c>
    </row>
    <row r="142" spans="1:23" s="204" customFormat="1" x14ac:dyDescent="0.35">
      <c r="A142" s="203" t="s">
        <v>1816</v>
      </c>
      <c r="B142" s="204" t="s">
        <v>1828</v>
      </c>
      <c r="C142" s="203" t="s">
        <v>67</v>
      </c>
      <c r="E142" s="204" t="s">
        <v>1817</v>
      </c>
      <c r="F142" s="204" t="s">
        <v>1827</v>
      </c>
      <c r="K142" s="204" t="s">
        <v>449</v>
      </c>
      <c r="N142" s="204" t="s">
        <v>368</v>
      </c>
      <c r="R142" s="204" t="s">
        <v>1059</v>
      </c>
    </row>
    <row r="143" spans="1:23" s="204" customFormat="1" x14ac:dyDescent="0.35">
      <c r="A143" s="203" t="s">
        <v>1867</v>
      </c>
      <c r="B143" s="204" t="s">
        <v>1868</v>
      </c>
      <c r="C143" s="203" t="s">
        <v>67</v>
      </c>
      <c r="E143" s="204" t="s">
        <v>991</v>
      </c>
      <c r="F143" s="204" t="s">
        <v>1867</v>
      </c>
      <c r="L143" s="204" t="s">
        <v>367</v>
      </c>
      <c r="N143" s="204" t="s">
        <v>368</v>
      </c>
      <c r="R143" s="204" t="s">
        <v>1818</v>
      </c>
    </row>
    <row r="144" spans="1:23" x14ac:dyDescent="0.35">
      <c r="A144" s="28" t="s">
        <v>77</v>
      </c>
      <c r="B144" t="s">
        <v>1670</v>
      </c>
      <c r="C144" s="28" t="s">
        <v>67</v>
      </c>
      <c r="E144" t="s">
        <v>996</v>
      </c>
      <c r="F144" t="s">
        <v>77</v>
      </c>
      <c r="I144" t="b">
        <v>1</v>
      </c>
      <c r="K144" t="s">
        <v>446</v>
      </c>
      <c r="M144" t="s">
        <v>359</v>
      </c>
      <c r="N144" t="s">
        <v>368</v>
      </c>
    </row>
    <row r="145" spans="1:23" x14ac:dyDescent="0.35">
      <c r="A145" s="28" t="s">
        <v>74</v>
      </c>
      <c r="B145" t="s">
        <v>1671</v>
      </c>
      <c r="C145" s="28" t="s">
        <v>1916</v>
      </c>
      <c r="E145" t="s">
        <v>993</v>
      </c>
      <c r="F145" t="s">
        <v>74</v>
      </c>
      <c r="H145">
        <v>1</v>
      </c>
      <c r="I145" t="b">
        <v>1</v>
      </c>
      <c r="K145" t="s">
        <v>449</v>
      </c>
      <c r="N145" t="s">
        <v>368</v>
      </c>
    </row>
    <row r="146" spans="1:23" x14ac:dyDescent="0.35">
      <c r="A146" s="28" t="s">
        <v>74</v>
      </c>
      <c r="B146" t="s">
        <v>1672</v>
      </c>
      <c r="C146" s="28" t="s">
        <v>1916</v>
      </c>
      <c r="E146" t="s">
        <v>993</v>
      </c>
      <c r="F146" t="s">
        <v>506</v>
      </c>
      <c r="H146">
        <v>1</v>
      </c>
      <c r="I146" t="b">
        <v>1</v>
      </c>
      <c r="K146" t="s">
        <v>507</v>
      </c>
      <c r="N146" t="s">
        <v>368</v>
      </c>
    </row>
    <row r="147" spans="1:23" x14ac:dyDescent="0.35">
      <c r="A147" s="28" t="s">
        <v>74</v>
      </c>
      <c r="B147" t="s">
        <v>1673</v>
      </c>
      <c r="C147" s="28" t="s">
        <v>1916</v>
      </c>
      <c r="E147" t="s">
        <v>993</v>
      </c>
      <c r="F147" t="s">
        <v>76</v>
      </c>
      <c r="H147">
        <v>1</v>
      </c>
      <c r="K147" t="s">
        <v>446</v>
      </c>
      <c r="N147" t="s">
        <v>368</v>
      </c>
    </row>
    <row r="148" spans="1:23" s="204" customFormat="1" x14ac:dyDescent="0.35">
      <c r="A148" s="28" t="s">
        <v>74</v>
      </c>
      <c r="B148" t="s">
        <v>1674</v>
      </c>
      <c r="C148" s="28" t="s">
        <v>1916</v>
      </c>
      <c r="D148"/>
      <c r="E148" t="s">
        <v>993</v>
      </c>
      <c r="F148" t="s">
        <v>75</v>
      </c>
      <c r="G148"/>
      <c r="H148">
        <v>1</v>
      </c>
      <c r="I148"/>
      <c r="J148"/>
      <c r="K148" t="s">
        <v>452</v>
      </c>
      <c r="L148"/>
      <c r="M148"/>
      <c r="N148" t="s">
        <v>368</v>
      </c>
      <c r="O148"/>
      <c r="P148"/>
      <c r="Q148"/>
      <c r="R148"/>
      <c r="S148"/>
      <c r="T148"/>
      <c r="U148"/>
      <c r="V148"/>
      <c r="W148"/>
    </row>
    <row r="149" spans="1:23" s="204" customFormat="1" x14ac:dyDescent="0.35">
      <c r="A149" s="203" t="s">
        <v>74</v>
      </c>
      <c r="B149" s="204" t="s">
        <v>1787</v>
      </c>
      <c r="C149" s="203" t="s">
        <v>1916</v>
      </c>
      <c r="E149" s="204" t="s">
        <v>993</v>
      </c>
      <c r="F149" s="204" t="s">
        <v>1788</v>
      </c>
      <c r="H149" s="204">
        <v>1</v>
      </c>
      <c r="K149" s="204" t="s">
        <v>1770</v>
      </c>
      <c r="N149" s="204" t="s">
        <v>368</v>
      </c>
    </row>
    <row r="150" spans="1:23" x14ac:dyDescent="0.35">
      <c r="A150" s="203" t="s">
        <v>74</v>
      </c>
      <c r="B150" s="204" t="s">
        <v>1795</v>
      </c>
      <c r="C150" s="203" t="s">
        <v>1916</v>
      </c>
      <c r="D150" s="204"/>
      <c r="E150" s="204" t="s">
        <v>993</v>
      </c>
      <c r="F150" s="204" t="s">
        <v>1796</v>
      </c>
      <c r="G150" s="204"/>
      <c r="H150" s="204">
        <v>1</v>
      </c>
      <c r="I150" s="204"/>
      <c r="J150" s="204"/>
      <c r="K150" s="204" t="s">
        <v>1766</v>
      </c>
      <c r="L150" s="204"/>
      <c r="M150" s="204"/>
      <c r="N150" s="204" t="s">
        <v>368</v>
      </c>
      <c r="O150" s="204"/>
      <c r="P150" s="204"/>
      <c r="Q150" s="204"/>
      <c r="R150" s="204"/>
      <c r="S150" s="204"/>
      <c r="T150" s="204"/>
      <c r="U150" s="204"/>
      <c r="V150" s="204"/>
      <c r="W150" s="204"/>
    </row>
    <row r="151" spans="1:23" x14ac:dyDescent="0.35">
      <c r="A151" s="28" t="s">
        <v>99</v>
      </c>
      <c r="B151" t="s">
        <v>508</v>
      </c>
      <c r="C151" s="28" t="s">
        <v>34</v>
      </c>
      <c r="E151" t="s">
        <v>97</v>
      </c>
      <c r="F151" t="s">
        <v>99</v>
      </c>
      <c r="H151">
        <v>0</v>
      </c>
      <c r="K151" t="s">
        <v>454</v>
      </c>
      <c r="L151" t="s">
        <v>367</v>
      </c>
      <c r="O151" t="s">
        <v>509</v>
      </c>
    </row>
    <row r="152" spans="1:23" x14ac:dyDescent="0.35">
      <c r="A152" s="28" t="s">
        <v>95</v>
      </c>
      <c r="B152" t="s">
        <v>510</v>
      </c>
      <c r="C152" s="28" t="s">
        <v>34</v>
      </c>
      <c r="E152" t="s">
        <v>97</v>
      </c>
      <c r="F152" t="s">
        <v>95</v>
      </c>
      <c r="H152">
        <v>0</v>
      </c>
      <c r="K152" t="s">
        <v>454</v>
      </c>
      <c r="L152" t="s">
        <v>367</v>
      </c>
      <c r="O152" t="s">
        <v>509</v>
      </c>
    </row>
    <row r="153" spans="1:23" x14ac:dyDescent="0.35">
      <c r="A153" s="28" t="s">
        <v>104</v>
      </c>
      <c r="B153" t="s">
        <v>512</v>
      </c>
      <c r="C153" s="28" t="s">
        <v>34</v>
      </c>
      <c r="E153" t="s">
        <v>94</v>
      </c>
      <c r="F153" t="s">
        <v>107</v>
      </c>
      <c r="H153">
        <v>0</v>
      </c>
      <c r="L153" t="s">
        <v>371</v>
      </c>
      <c r="O153" t="s">
        <v>369</v>
      </c>
    </row>
    <row r="154" spans="1:23" x14ac:dyDescent="0.35">
      <c r="A154" s="28" t="s">
        <v>104</v>
      </c>
      <c r="B154" t="s">
        <v>511</v>
      </c>
      <c r="C154" s="28" t="s">
        <v>34</v>
      </c>
      <c r="E154" t="s">
        <v>94</v>
      </c>
      <c r="F154" t="s">
        <v>106</v>
      </c>
      <c r="H154">
        <v>0</v>
      </c>
      <c r="L154" t="s">
        <v>367</v>
      </c>
      <c r="O154" t="s">
        <v>369</v>
      </c>
    </row>
    <row r="155" spans="1:23" x14ac:dyDescent="0.35">
      <c r="A155" s="28" t="s">
        <v>91</v>
      </c>
      <c r="B155" t="s">
        <v>517</v>
      </c>
      <c r="C155" s="28" t="s">
        <v>1918</v>
      </c>
      <c r="E155" t="s">
        <v>987</v>
      </c>
      <c r="F155" t="s">
        <v>518</v>
      </c>
      <c r="H155">
        <v>0</v>
      </c>
      <c r="I155" t="b">
        <v>1</v>
      </c>
      <c r="K155" t="s">
        <v>519</v>
      </c>
      <c r="N155" t="s">
        <v>368</v>
      </c>
      <c r="O155" t="s">
        <v>373</v>
      </c>
    </row>
    <row r="156" spans="1:23" x14ac:dyDescent="0.35">
      <c r="A156" s="28" t="s">
        <v>91</v>
      </c>
      <c r="B156" t="s">
        <v>515</v>
      </c>
      <c r="C156" s="28" t="s">
        <v>1918</v>
      </c>
      <c r="E156" t="s">
        <v>987</v>
      </c>
      <c r="F156" t="s">
        <v>516</v>
      </c>
      <c r="H156">
        <v>0</v>
      </c>
      <c r="I156" t="b">
        <v>1</v>
      </c>
      <c r="K156" t="s">
        <v>507</v>
      </c>
      <c r="N156" t="s">
        <v>368</v>
      </c>
      <c r="O156" t="s">
        <v>373</v>
      </c>
    </row>
    <row r="157" spans="1:23" x14ac:dyDescent="0.35">
      <c r="A157" s="28" t="s">
        <v>91</v>
      </c>
      <c r="B157" t="s">
        <v>513</v>
      </c>
      <c r="C157" s="28" t="s">
        <v>1918</v>
      </c>
      <c r="E157" t="s">
        <v>987</v>
      </c>
      <c r="F157" t="s">
        <v>514</v>
      </c>
      <c r="H157">
        <v>0</v>
      </c>
      <c r="K157" t="s">
        <v>449</v>
      </c>
      <c r="N157" t="s">
        <v>368</v>
      </c>
      <c r="O157" t="s">
        <v>509</v>
      </c>
    </row>
    <row r="158" spans="1:23" x14ac:dyDescent="0.35">
      <c r="A158" s="28" t="s">
        <v>91</v>
      </c>
      <c r="B158" t="s">
        <v>1108</v>
      </c>
      <c r="C158" s="28" t="s">
        <v>1918</v>
      </c>
      <c r="E158" t="s">
        <v>987</v>
      </c>
      <c r="F158" t="s">
        <v>1104</v>
      </c>
      <c r="H158">
        <v>0</v>
      </c>
      <c r="K158" t="s">
        <v>1106</v>
      </c>
      <c r="N158" t="s">
        <v>368</v>
      </c>
      <c r="O158" t="s">
        <v>373</v>
      </c>
    </row>
    <row r="159" spans="1:23" x14ac:dyDescent="0.35">
      <c r="A159" s="28" t="s">
        <v>1101</v>
      </c>
      <c r="B159" t="s">
        <v>1107</v>
      </c>
      <c r="C159" s="28" t="s">
        <v>34</v>
      </c>
      <c r="E159" t="s">
        <v>987</v>
      </c>
      <c r="F159" t="s">
        <v>1101</v>
      </c>
      <c r="H159">
        <v>0</v>
      </c>
      <c r="K159" t="s">
        <v>1106</v>
      </c>
      <c r="N159" t="s">
        <v>368</v>
      </c>
      <c r="O159" t="s">
        <v>373</v>
      </c>
    </row>
    <row r="160" spans="1:23" x14ac:dyDescent="0.35">
      <c r="A160" s="28" t="s">
        <v>92</v>
      </c>
      <c r="B160" t="s">
        <v>520</v>
      </c>
      <c r="C160" s="28" t="s">
        <v>34</v>
      </c>
      <c r="E160" t="s">
        <v>521</v>
      </c>
      <c r="F160" t="s">
        <v>92</v>
      </c>
      <c r="H160">
        <v>0</v>
      </c>
      <c r="L160" t="s">
        <v>367</v>
      </c>
      <c r="N160" t="s">
        <v>368</v>
      </c>
      <c r="O160" t="s">
        <v>509</v>
      </c>
    </row>
    <row r="161" spans="1:19" x14ac:dyDescent="0.35">
      <c r="A161" s="28" t="s">
        <v>522</v>
      </c>
      <c r="B161" t="s">
        <v>523</v>
      </c>
      <c r="C161" s="28" t="s">
        <v>34</v>
      </c>
      <c r="E161" t="s">
        <v>524</v>
      </c>
      <c r="F161" t="s">
        <v>525</v>
      </c>
      <c r="H161">
        <v>0</v>
      </c>
      <c r="N161" t="s">
        <v>368</v>
      </c>
      <c r="S161" t="s">
        <v>526</v>
      </c>
    </row>
    <row r="162" spans="1:19" x14ac:dyDescent="0.35">
      <c r="A162" s="28" t="s">
        <v>522</v>
      </c>
      <c r="B162" t="s">
        <v>523</v>
      </c>
      <c r="C162" s="28" t="s">
        <v>34</v>
      </c>
      <c r="E162" t="s">
        <v>524</v>
      </c>
      <c r="F162" t="s">
        <v>966</v>
      </c>
      <c r="H162">
        <v>0</v>
      </c>
      <c r="N162" t="s">
        <v>363</v>
      </c>
      <c r="S162" t="s">
        <v>526</v>
      </c>
    </row>
    <row r="163" spans="1:19" x14ac:dyDescent="0.35">
      <c r="A163" s="28" t="s">
        <v>522</v>
      </c>
      <c r="B163" t="s">
        <v>527</v>
      </c>
      <c r="C163" s="28" t="s">
        <v>34</v>
      </c>
      <c r="E163" t="s">
        <v>524</v>
      </c>
      <c r="F163" t="s">
        <v>528</v>
      </c>
      <c r="H163">
        <v>0</v>
      </c>
      <c r="N163" t="s">
        <v>363</v>
      </c>
      <c r="S163" t="s">
        <v>529</v>
      </c>
    </row>
    <row r="164" spans="1:19" x14ac:dyDescent="0.35">
      <c r="A164" s="28" t="s">
        <v>530</v>
      </c>
      <c r="B164" t="s">
        <v>533</v>
      </c>
      <c r="C164" s="28" t="s">
        <v>67</v>
      </c>
      <c r="E164" t="s">
        <v>997</v>
      </c>
      <c r="F164" t="s">
        <v>534</v>
      </c>
      <c r="L164" t="s">
        <v>367</v>
      </c>
      <c r="N164" t="s">
        <v>368</v>
      </c>
      <c r="O164" t="s">
        <v>373</v>
      </c>
    </row>
    <row r="165" spans="1:19" x14ac:dyDescent="0.35">
      <c r="A165" s="28" t="s">
        <v>530</v>
      </c>
      <c r="B165" t="s">
        <v>1616</v>
      </c>
      <c r="C165" s="28" t="s">
        <v>67</v>
      </c>
      <c r="E165" t="s">
        <v>997</v>
      </c>
      <c r="F165" t="s">
        <v>1617</v>
      </c>
      <c r="L165" t="s">
        <v>367</v>
      </c>
      <c r="N165" t="s">
        <v>1584</v>
      </c>
      <c r="O165" t="s">
        <v>1587</v>
      </c>
    </row>
    <row r="166" spans="1:19" x14ac:dyDescent="0.35">
      <c r="A166" s="28" t="s">
        <v>530</v>
      </c>
      <c r="B166" t="s">
        <v>531</v>
      </c>
      <c r="C166" s="28" t="s">
        <v>67</v>
      </c>
      <c r="E166" t="s">
        <v>997</v>
      </c>
      <c r="F166" t="s">
        <v>532</v>
      </c>
      <c r="L166" t="s">
        <v>367</v>
      </c>
      <c r="N166" t="s">
        <v>368</v>
      </c>
      <c r="O166" t="s">
        <v>509</v>
      </c>
    </row>
    <row r="167" spans="1:19" x14ac:dyDescent="0.35">
      <c r="A167" s="28" t="s">
        <v>530</v>
      </c>
      <c r="B167" t="s">
        <v>1018</v>
      </c>
      <c r="C167" s="28" t="s">
        <v>67</v>
      </c>
      <c r="E167" t="s">
        <v>997</v>
      </c>
      <c r="F167" t="s">
        <v>1019</v>
      </c>
      <c r="L167" t="s">
        <v>367</v>
      </c>
      <c r="N167" t="s">
        <v>368</v>
      </c>
      <c r="O167" t="s">
        <v>1013</v>
      </c>
    </row>
    <row r="168" spans="1:19" x14ac:dyDescent="0.35">
      <c r="A168" s="28" t="s">
        <v>530</v>
      </c>
      <c r="B168" t="s">
        <v>1016</v>
      </c>
      <c r="C168" s="28" t="s">
        <v>67</v>
      </c>
      <c r="E168" t="s">
        <v>997</v>
      </c>
      <c r="F168" t="s">
        <v>109</v>
      </c>
      <c r="L168" t="s">
        <v>371</v>
      </c>
      <c r="N168" t="s">
        <v>368</v>
      </c>
      <c r="O168" t="s">
        <v>369</v>
      </c>
    </row>
    <row r="169" spans="1:19" x14ac:dyDescent="0.35">
      <c r="A169" s="28" t="s">
        <v>530</v>
      </c>
      <c r="B169" t="s">
        <v>1017</v>
      </c>
      <c r="C169" s="28" t="s">
        <v>67</v>
      </c>
      <c r="E169" t="s">
        <v>997</v>
      </c>
      <c r="F169" t="s">
        <v>108</v>
      </c>
      <c r="L169" t="s">
        <v>367</v>
      </c>
      <c r="N169" t="s">
        <v>368</v>
      </c>
      <c r="O169" t="s">
        <v>369</v>
      </c>
    </row>
    <row r="170" spans="1:19" x14ac:dyDescent="0.35">
      <c r="A170" s="28" t="s">
        <v>1658</v>
      </c>
      <c r="B170" t="s">
        <v>1572</v>
      </c>
      <c r="C170" s="28" t="s">
        <v>67</v>
      </c>
      <c r="E170" t="s">
        <v>1574</v>
      </c>
      <c r="F170" t="s">
        <v>1576</v>
      </c>
      <c r="N170" t="s">
        <v>1584</v>
      </c>
      <c r="O170" t="s">
        <v>1588</v>
      </c>
    </row>
    <row r="171" spans="1:19" x14ac:dyDescent="0.35">
      <c r="A171" s="28" t="s">
        <v>1658</v>
      </c>
      <c r="B171" t="s">
        <v>1573</v>
      </c>
      <c r="C171" s="28" t="s">
        <v>67</v>
      </c>
      <c r="E171" t="s">
        <v>1574</v>
      </c>
      <c r="F171" t="s">
        <v>1577</v>
      </c>
      <c r="N171" t="s">
        <v>1593</v>
      </c>
      <c r="O171" t="s">
        <v>1587</v>
      </c>
    </row>
    <row r="172" spans="1:19" x14ac:dyDescent="0.35">
      <c r="A172" s="28" t="s">
        <v>1657</v>
      </c>
      <c r="B172" t="s">
        <v>1571</v>
      </c>
      <c r="C172" s="28" t="s">
        <v>67</v>
      </c>
      <c r="E172" t="s">
        <v>1574</v>
      </c>
      <c r="F172" t="s">
        <v>1575</v>
      </c>
      <c r="N172" t="s">
        <v>1584</v>
      </c>
      <c r="O172" t="s">
        <v>1587</v>
      </c>
    </row>
    <row r="173" spans="1:19" x14ac:dyDescent="0.35">
      <c r="A173" s="28" t="s">
        <v>1657</v>
      </c>
      <c r="B173" t="s">
        <v>1591</v>
      </c>
      <c r="C173" s="28" t="s">
        <v>67</v>
      </c>
      <c r="E173" t="s">
        <v>1574</v>
      </c>
      <c r="F173" t="s">
        <v>1592</v>
      </c>
      <c r="N173" t="s">
        <v>1593</v>
      </c>
      <c r="O173" t="s">
        <v>1587</v>
      </c>
    </row>
    <row r="174" spans="1:19" x14ac:dyDescent="0.35">
      <c r="A174" s="28" t="s">
        <v>535</v>
      </c>
      <c r="B174" t="s">
        <v>536</v>
      </c>
      <c r="C174" s="28" t="s">
        <v>67</v>
      </c>
      <c r="E174" t="s">
        <v>998</v>
      </c>
      <c r="F174" t="s">
        <v>537</v>
      </c>
      <c r="K174" t="s">
        <v>454</v>
      </c>
      <c r="L174" t="s">
        <v>367</v>
      </c>
      <c r="N174" t="s">
        <v>368</v>
      </c>
      <c r="O174" t="s">
        <v>509</v>
      </c>
    </row>
    <row r="175" spans="1:19" x14ac:dyDescent="0.35">
      <c r="A175" s="28" t="s">
        <v>101</v>
      </c>
      <c r="B175" t="s">
        <v>539</v>
      </c>
      <c r="C175" s="28" t="s">
        <v>67</v>
      </c>
      <c r="E175" t="s">
        <v>998</v>
      </c>
      <c r="F175" t="s">
        <v>103</v>
      </c>
      <c r="K175" t="s">
        <v>454</v>
      </c>
      <c r="L175" t="s">
        <v>371</v>
      </c>
      <c r="N175" t="s">
        <v>368</v>
      </c>
      <c r="O175" t="s">
        <v>509</v>
      </c>
    </row>
    <row r="176" spans="1:19" x14ac:dyDescent="0.35">
      <c r="A176" s="28" t="s">
        <v>101</v>
      </c>
      <c r="B176" t="s">
        <v>1656</v>
      </c>
      <c r="C176" s="28" t="s">
        <v>67</v>
      </c>
      <c r="E176" t="s">
        <v>998</v>
      </c>
      <c r="F176" t="s">
        <v>1619</v>
      </c>
      <c r="K176" t="s">
        <v>454</v>
      </c>
      <c r="L176" t="s">
        <v>371</v>
      </c>
      <c r="N176" t="s">
        <v>1584</v>
      </c>
      <c r="O176" t="s">
        <v>1588</v>
      </c>
    </row>
    <row r="177" spans="1:23" x14ac:dyDescent="0.35">
      <c r="A177" s="28" t="s">
        <v>101</v>
      </c>
      <c r="B177" t="s">
        <v>538</v>
      </c>
      <c r="C177" s="28" t="s">
        <v>67</v>
      </c>
      <c r="E177" t="s">
        <v>998</v>
      </c>
      <c r="F177" t="s">
        <v>102</v>
      </c>
      <c r="K177" t="s">
        <v>454</v>
      </c>
      <c r="L177" t="s">
        <v>367</v>
      </c>
      <c r="N177" t="s">
        <v>368</v>
      </c>
      <c r="O177" t="s">
        <v>509</v>
      </c>
    </row>
    <row r="178" spans="1:23" x14ac:dyDescent="0.35">
      <c r="A178" s="28" t="s">
        <v>540</v>
      </c>
      <c r="B178" t="s">
        <v>541</v>
      </c>
      <c r="C178" s="28" t="s">
        <v>67</v>
      </c>
      <c r="E178" t="s">
        <v>999</v>
      </c>
      <c r="F178" t="s">
        <v>540</v>
      </c>
      <c r="L178" t="s">
        <v>392</v>
      </c>
      <c r="M178" t="s">
        <v>359</v>
      </c>
      <c r="N178" t="s">
        <v>368</v>
      </c>
    </row>
    <row r="179" spans="1:23" x14ac:dyDescent="0.35">
      <c r="A179" s="28" t="s">
        <v>540</v>
      </c>
      <c r="B179" t="s">
        <v>546</v>
      </c>
      <c r="C179" s="28" t="s">
        <v>67</v>
      </c>
      <c r="E179" t="s">
        <v>999</v>
      </c>
      <c r="F179" t="s">
        <v>547</v>
      </c>
      <c r="L179" t="s">
        <v>392</v>
      </c>
      <c r="M179" t="s">
        <v>548</v>
      </c>
      <c r="N179" t="s">
        <v>368</v>
      </c>
    </row>
    <row r="180" spans="1:23" x14ac:dyDescent="0.35">
      <c r="A180" s="28" t="s">
        <v>540</v>
      </c>
      <c r="B180" t="s">
        <v>542</v>
      </c>
      <c r="C180" s="28" t="s">
        <v>67</v>
      </c>
      <c r="E180" t="s">
        <v>999</v>
      </c>
      <c r="F180" t="s">
        <v>543</v>
      </c>
      <c r="L180" t="s">
        <v>394</v>
      </c>
      <c r="M180" t="s">
        <v>359</v>
      </c>
      <c r="N180" t="s">
        <v>368</v>
      </c>
    </row>
    <row r="181" spans="1:23" s="157" customFormat="1" x14ac:dyDescent="0.35">
      <c r="A181" s="28" t="s">
        <v>540</v>
      </c>
      <c r="B181" t="s">
        <v>544</v>
      </c>
      <c r="C181" s="28" t="s">
        <v>67</v>
      </c>
      <c r="D181"/>
      <c r="E181" t="s">
        <v>999</v>
      </c>
      <c r="F181" t="s">
        <v>545</v>
      </c>
      <c r="G181"/>
      <c r="H181"/>
      <c r="I181"/>
      <c r="J181"/>
      <c r="K181"/>
      <c r="L181" t="s">
        <v>396</v>
      </c>
      <c r="M181" t="s">
        <v>359</v>
      </c>
      <c r="N181" t="s">
        <v>368</v>
      </c>
      <c r="O181"/>
      <c r="P181"/>
      <c r="Q181"/>
      <c r="R181"/>
      <c r="S181"/>
      <c r="T181"/>
      <c r="U181"/>
      <c r="V181"/>
      <c r="W181"/>
    </row>
    <row r="182" spans="1:23" s="157" customFormat="1" x14ac:dyDescent="0.35">
      <c r="A182" s="101" t="s">
        <v>549</v>
      </c>
      <c r="B182" s="100" t="s">
        <v>550</v>
      </c>
      <c r="C182" s="101" t="s">
        <v>4</v>
      </c>
      <c r="D182" s="100"/>
      <c r="E182" s="100" t="s">
        <v>56</v>
      </c>
      <c r="F182" s="100" t="s">
        <v>549</v>
      </c>
      <c r="G182" s="100" t="s">
        <v>551</v>
      </c>
      <c r="H182" s="100"/>
      <c r="I182" s="100"/>
      <c r="J182" s="100"/>
      <c r="K182" s="100"/>
      <c r="L182" s="100"/>
      <c r="M182" s="100" t="s">
        <v>359</v>
      </c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</row>
    <row r="183" spans="1:23" x14ac:dyDescent="0.35">
      <c r="A183" s="101" t="s">
        <v>552</v>
      </c>
      <c r="B183" s="100" t="s">
        <v>553</v>
      </c>
      <c r="C183" s="101" t="s">
        <v>4</v>
      </c>
      <c r="D183" s="100"/>
      <c r="E183" s="100" t="s">
        <v>62</v>
      </c>
      <c r="F183" s="100" t="s">
        <v>552</v>
      </c>
      <c r="G183" s="100" t="s">
        <v>551</v>
      </c>
      <c r="H183" s="100"/>
      <c r="I183" s="100"/>
      <c r="J183" s="100"/>
      <c r="K183" s="100"/>
      <c r="L183" s="100"/>
      <c r="M183" s="100"/>
      <c r="N183" s="100" t="s">
        <v>359</v>
      </c>
      <c r="O183" s="100"/>
      <c r="P183" s="100"/>
      <c r="Q183" s="100"/>
      <c r="R183" s="100"/>
      <c r="S183" s="100"/>
      <c r="T183" s="100"/>
      <c r="U183" s="100"/>
      <c r="V183" s="100"/>
      <c r="W183" s="100"/>
    </row>
    <row r="184" spans="1:23" x14ac:dyDescent="0.35">
      <c r="A184" s="28" t="s">
        <v>554</v>
      </c>
      <c r="B184" t="s">
        <v>1165</v>
      </c>
      <c r="C184" s="28" t="s">
        <v>34</v>
      </c>
      <c r="E184" t="s">
        <v>555</v>
      </c>
      <c r="F184" t="s">
        <v>1091</v>
      </c>
      <c r="H184">
        <v>1</v>
      </c>
      <c r="L184" t="s">
        <v>1143</v>
      </c>
      <c r="P184" t="s">
        <v>1093</v>
      </c>
    </row>
    <row r="185" spans="1:23" x14ac:dyDescent="0.35">
      <c r="A185" s="28" t="s">
        <v>554</v>
      </c>
      <c r="B185" t="s">
        <v>1164</v>
      </c>
      <c r="C185" s="28" t="s">
        <v>34</v>
      </c>
      <c r="E185" t="s">
        <v>555</v>
      </c>
      <c r="F185" t="s">
        <v>1092</v>
      </c>
      <c r="H185">
        <v>1</v>
      </c>
      <c r="L185" t="s">
        <v>1166</v>
      </c>
      <c r="P185" t="s">
        <v>1523</v>
      </c>
    </row>
    <row r="186" spans="1:23" x14ac:dyDescent="0.35">
      <c r="A186" s="28" t="s">
        <v>554</v>
      </c>
      <c r="B186" t="s">
        <v>568</v>
      </c>
      <c r="C186" s="28" t="s">
        <v>34</v>
      </c>
      <c r="E186" t="s">
        <v>555</v>
      </c>
      <c r="F186" t="s">
        <v>112</v>
      </c>
      <c r="H186">
        <v>9</v>
      </c>
      <c r="L186" t="s">
        <v>362</v>
      </c>
      <c r="P186" t="s">
        <v>569</v>
      </c>
    </row>
    <row r="187" spans="1:23" x14ac:dyDescent="0.35">
      <c r="A187" s="28" t="s">
        <v>554</v>
      </c>
      <c r="B187" t="s">
        <v>562</v>
      </c>
      <c r="C187" s="28" t="s">
        <v>34</v>
      </c>
      <c r="E187" t="s">
        <v>555</v>
      </c>
      <c r="F187" t="s">
        <v>563</v>
      </c>
      <c r="H187">
        <v>10</v>
      </c>
      <c r="L187" t="s">
        <v>362</v>
      </c>
      <c r="P187" t="s">
        <v>564</v>
      </c>
    </row>
    <row r="188" spans="1:23" x14ac:dyDescent="0.35">
      <c r="A188" s="28" t="s">
        <v>554</v>
      </c>
      <c r="B188" t="s">
        <v>570</v>
      </c>
      <c r="C188" s="28" t="s">
        <v>34</v>
      </c>
      <c r="E188" t="s">
        <v>555</v>
      </c>
      <c r="F188" t="s">
        <v>571</v>
      </c>
      <c r="H188">
        <v>0</v>
      </c>
      <c r="L188" t="s">
        <v>362</v>
      </c>
      <c r="P188" t="s">
        <v>572</v>
      </c>
      <c r="V188" t="s">
        <v>984</v>
      </c>
    </row>
    <row r="189" spans="1:23" x14ac:dyDescent="0.35">
      <c r="A189" s="28" t="s">
        <v>554</v>
      </c>
      <c r="B189" t="s">
        <v>565</v>
      </c>
      <c r="C189" s="28" t="s">
        <v>34</v>
      </c>
      <c r="E189" t="s">
        <v>555</v>
      </c>
      <c r="F189" t="s">
        <v>566</v>
      </c>
      <c r="H189">
        <v>10</v>
      </c>
      <c r="L189" t="s">
        <v>362</v>
      </c>
      <c r="P189" t="s">
        <v>567</v>
      </c>
      <c r="V189" t="s">
        <v>984</v>
      </c>
    </row>
    <row r="190" spans="1:23" x14ac:dyDescent="0.35">
      <c r="A190" s="28" t="s">
        <v>554</v>
      </c>
      <c r="B190" t="s">
        <v>1007</v>
      </c>
      <c r="C190" s="28" t="s">
        <v>34</v>
      </c>
      <c r="E190" t="s">
        <v>555</v>
      </c>
      <c r="F190" t="s">
        <v>576</v>
      </c>
      <c r="H190">
        <v>0.5</v>
      </c>
      <c r="L190" t="s">
        <v>394</v>
      </c>
      <c r="P190" t="s">
        <v>577</v>
      </c>
    </row>
    <row r="191" spans="1:23" x14ac:dyDescent="0.35">
      <c r="A191" s="28" t="s">
        <v>554</v>
      </c>
      <c r="B191" t="s">
        <v>1008</v>
      </c>
      <c r="C191" s="28" t="s">
        <v>34</v>
      </c>
      <c r="E191" t="s">
        <v>555</v>
      </c>
      <c r="F191" t="s">
        <v>578</v>
      </c>
      <c r="H191">
        <v>0.5</v>
      </c>
      <c r="L191" t="s">
        <v>396</v>
      </c>
      <c r="P191" t="s">
        <v>577</v>
      </c>
    </row>
    <row r="192" spans="1:23" x14ac:dyDescent="0.35">
      <c r="A192" s="28" t="s">
        <v>554</v>
      </c>
      <c r="B192" t="s">
        <v>583</v>
      </c>
      <c r="C192" s="28" t="s">
        <v>34</v>
      </c>
      <c r="E192" t="s">
        <v>555</v>
      </c>
      <c r="F192" t="s">
        <v>584</v>
      </c>
      <c r="H192">
        <v>1</v>
      </c>
      <c r="L192" t="s">
        <v>394</v>
      </c>
      <c r="P192" t="s">
        <v>585</v>
      </c>
    </row>
    <row r="193" spans="1:21" x14ac:dyDescent="0.35">
      <c r="A193" s="28" t="s">
        <v>554</v>
      </c>
      <c r="B193" t="s">
        <v>586</v>
      </c>
      <c r="C193" s="28" t="s">
        <v>34</v>
      </c>
      <c r="E193" t="s">
        <v>555</v>
      </c>
      <c r="F193" t="s">
        <v>587</v>
      </c>
      <c r="H193">
        <v>1</v>
      </c>
      <c r="L193" t="s">
        <v>396</v>
      </c>
      <c r="P193" t="s">
        <v>585</v>
      </c>
    </row>
    <row r="194" spans="1:21" x14ac:dyDescent="0.35">
      <c r="A194" s="28" t="s">
        <v>554</v>
      </c>
      <c r="B194" t="s">
        <v>580</v>
      </c>
      <c r="C194" s="28" t="s">
        <v>34</v>
      </c>
      <c r="E194" t="s">
        <v>555</v>
      </c>
      <c r="F194" t="s">
        <v>581</v>
      </c>
      <c r="H194">
        <v>1</v>
      </c>
      <c r="L194" t="s">
        <v>394</v>
      </c>
      <c r="P194" t="s">
        <v>582</v>
      </c>
    </row>
    <row r="195" spans="1:21" x14ac:dyDescent="0.35">
      <c r="A195" s="28" t="s">
        <v>554</v>
      </c>
      <c r="B195" t="s">
        <v>1010</v>
      </c>
      <c r="C195" s="28" t="s">
        <v>34</v>
      </c>
      <c r="E195" t="s">
        <v>555</v>
      </c>
      <c r="F195" t="s">
        <v>287</v>
      </c>
      <c r="H195">
        <v>0</v>
      </c>
      <c r="L195" t="s">
        <v>392</v>
      </c>
      <c r="P195" t="s">
        <v>575</v>
      </c>
    </row>
    <row r="196" spans="1:21" x14ac:dyDescent="0.35">
      <c r="A196" s="28" t="s">
        <v>554</v>
      </c>
      <c r="B196" t="s">
        <v>560</v>
      </c>
      <c r="C196" s="28" t="s">
        <v>34</v>
      </c>
      <c r="E196" t="s">
        <v>555</v>
      </c>
      <c r="F196" t="s">
        <v>561</v>
      </c>
      <c r="H196">
        <v>10</v>
      </c>
      <c r="L196" t="s">
        <v>362</v>
      </c>
      <c r="P196" t="s">
        <v>390</v>
      </c>
    </row>
    <row r="197" spans="1:21" x14ac:dyDescent="0.35">
      <c r="A197" s="28" t="s">
        <v>554</v>
      </c>
      <c r="B197" t="s">
        <v>1011</v>
      </c>
      <c r="C197" s="28" t="s">
        <v>34</v>
      </c>
      <c r="E197" t="s">
        <v>555</v>
      </c>
      <c r="F197" t="s">
        <v>293</v>
      </c>
      <c r="H197">
        <v>0.5</v>
      </c>
      <c r="L197" t="s">
        <v>392</v>
      </c>
      <c r="P197" t="s">
        <v>579</v>
      </c>
    </row>
    <row r="198" spans="1:21" x14ac:dyDescent="0.35">
      <c r="A198" s="28" t="s">
        <v>1115</v>
      </c>
      <c r="B198" t="s">
        <v>1119</v>
      </c>
      <c r="C198" s="28" t="s">
        <v>34</v>
      </c>
      <c r="E198" t="s">
        <v>1139</v>
      </c>
      <c r="F198" t="s">
        <v>1117</v>
      </c>
      <c r="H198">
        <v>0</v>
      </c>
      <c r="L198" t="s">
        <v>362</v>
      </c>
      <c r="N198" t="s">
        <v>363</v>
      </c>
      <c r="U198" t="s">
        <v>1121</v>
      </c>
    </row>
    <row r="199" spans="1:21" x14ac:dyDescent="0.35">
      <c r="A199" s="28" t="s">
        <v>1115</v>
      </c>
      <c r="B199" t="s">
        <v>1118</v>
      </c>
      <c r="C199" s="28" t="s">
        <v>34</v>
      </c>
      <c r="E199" t="s">
        <v>1139</v>
      </c>
      <c r="F199" t="s">
        <v>1116</v>
      </c>
      <c r="H199">
        <v>0</v>
      </c>
      <c r="L199" t="s">
        <v>362</v>
      </c>
      <c r="N199" t="s">
        <v>363</v>
      </c>
      <c r="U199" t="s">
        <v>1120</v>
      </c>
    </row>
    <row r="200" spans="1:21" x14ac:dyDescent="0.35">
      <c r="A200" s="28" t="s">
        <v>1115</v>
      </c>
      <c r="B200" t="s">
        <v>1491</v>
      </c>
      <c r="C200" s="28" t="s">
        <v>34</v>
      </c>
      <c r="E200" t="s">
        <v>1139</v>
      </c>
      <c r="F200" t="s">
        <v>1493</v>
      </c>
      <c r="H200">
        <v>0</v>
      </c>
      <c r="L200" t="s">
        <v>1478</v>
      </c>
      <c r="N200" t="s">
        <v>368</v>
      </c>
      <c r="U200" t="s">
        <v>1122</v>
      </c>
    </row>
    <row r="201" spans="1:21" ht="16" customHeight="1" x14ac:dyDescent="0.35">
      <c r="A201" s="28" t="s">
        <v>1115</v>
      </c>
      <c r="B201" t="s">
        <v>1214</v>
      </c>
      <c r="C201" s="28" t="s">
        <v>34</v>
      </c>
      <c r="E201" t="s">
        <v>1139</v>
      </c>
      <c r="F201" t="s">
        <v>1216</v>
      </c>
      <c r="H201">
        <v>0</v>
      </c>
      <c r="L201" t="s">
        <v>1202</v>
      </c>
      <c r="N201" t="s">
        <v>368</v>
      </c>
      <c r="U201" t="s">
        <v>1122</v>
      </c>
    </row>
    <row r="202" spans="1:21" ht="16" customHeight="1" x14ac:dyDescent="0.35">
      <c r="A202" s="28" t="s">
        <v>1115</v>
      </c>
      <c r="B202" t="s">
        <v>1713</v>
      </c>
      <c r="C202" s="28" t="s">
        <v>34</v>
      </c>
      <c r="E202" t="s">
        <v>1139</v>
      </c>
      <c r="F202" t="s">
        <v>1715</v>
      </c>
      <c r="H202">
        <v>0</v>
      </c>
      <c r="L202" t="s">
        <v>1702</v>
      </c>
      <c r="N202" t="s">
        <v>368</v>
      </c>
      <c r="U202" t="s">
        <v>1122</v>
      </c>
    </row>
    <row r="203" spans="1:21" ht="16" customHeight="1" x14ac:dyDescent="0.35">
      <c r="A203" s="28" t="s">
        <v>1115</v>
      </c>
      <c r="B203" t="s">
        <v>1714</v>
      </c>
      <c r="C203" s="28" t="s">
        <v>34</v>
      </c>
      <c r="E203" t="s">
        <v>1139</v>
      </c>
      <c r="F203" t="s">
        <v>1716</v>
      </c>
      <c r="H203">
        <v>0</v>
      </c>
      <c r="L203" t="s">
        <v>1703</v>
      </c>
      <c r="N203" t="s">
        <v>368</v>
      </c>
      <c r="U203" t="s">
        <v>1122</v>
      </c>
    </row>
    <row r="204" spans="1:21" ht="16" customHeight="1" x14ac:dyDescent="0.35">
      <c r="A204" s="28" t="s">
        <v>1115</v>
      </c>
      <c r="B204" t="s">
        <v>1213</v>
      </c>
      <c r="C204" s="28" t="s">
        <v>34</v>
      </c>
      <c r="E204" t="s">
        <v>1139</v>
      </c>
      <c r="F204" t="s">
        <v>1215</v>
      </c>
      <c r="H204">
        <v>0</v>
      </c>
      <c r="L204" t="s">
        <v>1201</v>
      </c>
      <c r="N204" t="s">
        <v>368</v>
      </c>
      <c r="U204" t="s">
        <v>1122</v>
      </c>
    </row>
    <row r="205" spans="1:21" ht="16" customHeight="1" x14ac:dyDescent="0.35">
      <c r="A205" s="28" t="s">
        <v>1115</v>
      </c>
      <c r="B205" t="s">
        <v>1737</v>
      </c>
      <c r="C205" s="28" t="s">
        <v>34</v>
      </c>
      <c r="E205" t="s">
        <v>1139</v>
      </c>
      <c r="F205" t="s">
        <v>1494</v>
      </c>
      <c r="H205">
        <v>0</v>
      </c>
      <c r="L205" t="s">
        <v>1678</v>
      </c>
      <c r="N205" t="s">
        <v>368</v>
      </c>
      <c r="U205" t="s">
        <v>1122</v>
      </c>
    </row>
    <row r="206" spans="1:21" ht="16" customHeight="1" x14ac:dyDescent="0.35">
      <c r="A206" s="28" t="s">
        <v>1115</v>
      </c>
      <c r="B206" t="s">
        <v>1126</v>
      </c>
      <c r="C206" s="28" t="s">
        <v>34</v>
      </c>
      <c r="E206" t="s">
        <v>1139</v>
      </c>
      <c r="F206" t="s">
        <v>1124</v>
      </c>
      <c r="H206">
        <v>0</v>
      </c>
      <c r="L206" t="s">
        <v>362</v>
      </c>
      <c r="N206" t="s">
        <v>363</v>
      </c>
      <c r="U206" t="s">
        <v>1128</v>
      </c>
    </row>
    <row r="207" spans="1:21" ht="16" customHeight="1" x14ac:dyDescent="0.35">
      <c r="A207" s="28" t="s">
        <v>1115</v>
      </c>
      <c r="B207" t="s">
        <v>1125</v>
      </c>
      <c r="C207" s="28" t="s">
        <v>34</v>
      </c>
      <c r="E207" t="s">
        <v>1139</v>
      </c>
      <c r="F207" t="s">
        <v>1123</v>
      </c>
      <c r="H207">
        <v>0</v>
      </c>
      <c r="L207" t="s">
        <v>362</v>
      </c>
      <c r="N207" t="s">
        <v>363</v>
      </c>
      <c r="U207" t="s">
        <v>1127</v>
      </c>
    </row>
    <row r="208" spans="1:21" ht="16" customHeight="1" x14ac:dyDescent="0.35">
      <c r="A208" s="28" t="s">
        <v>1115</v>
      </c>
      <c r="B208" t="s">
        <v>1492</v>
      </c>
      <c r="C208" s="28" t="s">
        <v>34</v>
      </c>
      <c r="E208" t="s">
        <v>1139</v>
      </c>
      <c r="F208" t="s">
        <v>1495</v>
      </c>
      <c r="H208">
        <v>0</v>
      </c>
      <c r="L208" t="s">
        <v>1478</v>
      </c>
      <c r="N208" t="s">
        <v>368</v>
      </c>
      <c r="U208" t="s">
        <v>1129</v>
      </c>
    </row>
    <row r="209" spans="1:21" ht="16" customHeight="1" x14ac:dyDescent="0.35">
      <c r="A209" s="28" t="s">
        <v>1115</v>
      </c>
      <c r="B209" t="s">
        <v>1218</v>
      </c>
      <c r="C209" s="28" t="s">
        <v>34</v>
      </c>
      <c r="E209" t="s">
        <v>1139</v>
      </c>
      <c r="F209" t="s">
        <v>1220</v>
      </c>
      <c r="H209">
        <v>0</v>
      </c>
      <c r="L209" t="s">
        <v>1202</v>
      </c>
      <c r="N209" t="s">
        <v>368</v>
      </c>
      <c r="U209" t="s">
        <v>1129</v>
      </c>
    </row>
    <row r="210" spans="1:21" ht="16" customHeight="1" x14ac:dyDescent="0.35">
      <c r="A210" s="28" t="s">
        <v>1115</v>
      </c>
      <c r="B210" t="s">
        <v>1729</v>
      </c>
      <c r="C210" s="28" t="s">
        <v>34</v>
      </c>
      <c r="E210" t="s">
        <v>1139</v>
      </c>
      <c r="F210" t="s">
        <v>1731</v>
      </c>
      <c r="H210">
        <v>0</v>
      </c>
      <c r="L210" t="s">
        <v>1702</v>
      </c>
      <c r="N210" t="s">
        <v>368</v>
      </c>
      <c r="U210" t="s">
        <v>1129</v>
      </c>
    </row>
    <row r="211" spans="1:21" ht="16" customHeight="1" x14ac:dyDescent="0.35">
      <c r="A211" s="28" t="s">
        <v>1115</v>
      </c>
      <c r="B211" t="s">
        <v>1730</v>
      </c>
      <c r="C211" s="28" t="s">
        <v>34</v>
      </c>
      <c r="E211" t="s">
        <v>1139</v>
      </c>
      <c r="F211" t="s">
        <v>1732</v>
      </c>
      <c r="H211">
        <v>0</v>
      </c>
      <c r="L211" t="s">
        <v>1703</v>
      </c>
      <c r="N211" t="s">
        <v>368</v>
      </c>
      <c r="U211" t="s">
        <v>1129</v>
      </c>
    </row>
    <row r="212" spans="1:21" ht="16" customHeight="1" x14ac:dyDescent="0.35">
      <c r="A212" s="28" t="s">
        <v>1115</v>
      </c>
      <c r="B212" t="s">
        <v>1217</v>
      </c>
      <c r="C212" s="28" t="s">
        <v>34</v>
      </c>
      <c r="E212" t="s">
        <v>1139</v>
      </c>
      <c r="F212" t="s">
        <v>1219</v>
      </c>
      <c r="H212">
        <v>0</v>
      </c>
      <c r="L212" t="s">
        <v>1201</v>
      </c>
      <c r="N212" t="s">
        <v>368</v>
      </c>
      <c r="U212" t="s">
        <v>1129</v>
      </c>
    </row>
    <row r="213" spans="1:21" x14ac:dyDescent="0.35">
      <c r="A213" s="28" t="s">
        <v>1115</v>
      </c>
      <c r="B213" t="s">
        <v>1738</v>
      </c>
      <c r="C213" s="28" t="s">
        <v>34</v>
      </c>
      <c r="E213" t="s">
        <v>1139</v>
      </c>
      <c r="F213" t="s">
        <v>1496</v>
      </c>
      <c r="H213">
        <v>0</v>
      </c>
      <c r="L213" t="s">
        <v>1678</v>
      </c>
      <c r="N213" t="s">
        <v>368</v>
      </c>
      <c r="U213" t="s">
        <v>1129</v>
      </c>
    </row>
    <row r="214" spans="1:21" x14ac:dyDescent="0.35">
      <c r="A214" s="28" t="s">
        <v>39</v>
      </c>
      <c r="B214" t="s">
        <v>588</v>
      </c>
      <c r="C214" s="28" t="s">
        <v>34</v>
      </c>
      <c r="E214" t="s">
        <v>65</v>
      </c>
      <c r="F214" t="s">
        <v>39</v>
      </c>
      <c r="H214">
        <v>0</v>
      </c>
      <c r="K214" t="s">
        <v>454</v>
      </c>
      <c r="L214" t="s">
        <v>367</v>
      </c>
      <c r="N214" t="s">
        <v>368</v>
      </c>
    </row>
    <row r="215" spans="1:21" x14ac:dyDescent="0.35">
      <c r="A215" s="28" t="s">
        <v>39</v>
      </c>
      <c r="B215" t="s">
        <v>594</v>
      </c>
      <c r="C215" s="28" t="s">
        <v>34</v>
      </c>
      <c r="E215" t="s">
        <v>65</v>
      </c>
      <c r="F215" t="s">
        <v>46</v>
      </c>
      <c r="H215">
        <v>0</v>
      </c>
      <c r="K215" t="s">
        <v>595</v>
      </c>
      <c r="L215" t="s">
        <v>489</v>
      </c>
      <c r="N215" t="s">
        <v>368</v>
      </c>
    </row>
    <row r="216" spans="1:21" x14ac:dyDescent="0.35">
      <c r="A216" s="28" t="s">
        <v>39</v>
      </c>
      <c r="B216" t="s">
        <v>593</v>
      </c>
      <c r="C216" s="28" t="s">
        <v>34</v>
      </c>
      <c r="E216" t="s">
        <v>65</v>
      </c>
      <c r="F216" t="s">
        <v>45</v>
      </c>
      <c r="H216">
        <v>0</v>
      </c>
      <c r="K216" t="s">
        <v>456</v>
      </c>
      <c r="L216" t="s">
        <v>486</v>
      </c>
      <c r="N216" t="s">
        <v>368</v>
      </c>
    </row>
    <row r="217" spans="1:21" x14ac:dyDescent="0.35">
      <c r="A217" s="28" t="s">
        <v>39</v>
      </c>
      <c r="B217" t="s">
        <v>592</v>
      </c>
      <c r="C217" s="28" t="s">
        <v>34</v>
      </c>
      <c r="E217" t="s">
        <v>65</v>
      </c>
      <c r="F217" t="s">
        <v>44</v>
      </c>
      <c r="H217">
        <v>0</v>
      </c>
      <c r="K217" t="s">
        <v>456</v>
      </c>
      <c r="L217" t="s">
        <v>483</v>
      </c>
      <c r="N217" t="s">
        <v>368</v>
      </c>
    </row>
    <row r="218" spans="1:21" x14ac:dyDescent="0.35">
      <c r="A218" s="28" t="s">
        <v>39</v>
      </c>
      <c r="B218" t="s">
        <v>589</v>
      </c>
      <c r="C218" s="28" t="s">
        <v>34</v>
      </c>
      <c r="E218" t="s">
        <v>65</v>
      </c>
      <c r="F218" t="s">
        <v>42</v>
      </c>
      <c r="H218">
        <v>0</v>
      </c>
      <c r="K218" t="s">
        <v>455</v>
      </c>
      <c r="L218" t="s">
        <v>483</v>
      </c>
      <c r="N218" t="s">
        <v>368</v>
      </c>
    </row>
    <row r="219" spans="1:21" x14ac:dyDescent="0.35">
      <c r="A219" s="28" t="s">
        <v>39</v>
      </c>
      <c r="B219" t="s">
        <v>590</v>
      </c>
      <c r="C219" s="28" t="s">
        <v>34</v>
      </c>
      <c r="E219" t="s">
        <v>65</v>
      </c>
      <c r="F219" t="s">
        <v>43</v>
      </c>
      <c r="H219">
        <v>0</v>
      </c>
      <c r="K219" t="s">
        <v>591</v>
      </c>
      <c r="L219" t="s">
        <v>486</v>
      </c>
      <c r="N219" t="s">
        <v>368</v>
      </c>
    </row>
    <row r="220" spans="1:21" x14ac:dyDescent="0.35">
      <c r="A220" s="28" t="s">
        <v>85</v>
      </c>
      <c r="B220" t="s">
        <v>596</v>
      </c>
      <c r="C220" s="28" t="s">
        <v>67</v>
      </c>
      <c r="E220" t="s">
        <v>994</v>
      </c>
      <c r="F220" t="s">
        <v>9</v>
      </c>
      <c r="K220" t="s">
        <v>454</v>
      </c>
      <c r="L220" t="s">
        <v>367</v>
      </c>
      <c r="N220" t="s">
        <v>368</v>
      </c>
    </row>
    <row r="221" spans="1:21" x14ac:dyDescent="0.35">
      <c r="A221" s="28" t="s">
        <v>32</v>
      </c>
      <c r="B221" t="s">
        <v>597</v>
      </c>
      <c r="C221" s="28" t="s">
        <v>34</v>
      </c>
      <c r="E221" t="s">
        <v>84</v>
      </c>
      <c r="F221" t="s">
        <v>32</v>
      </c>
      <c r="H221">
        <v>0</v>
      </c>
      <c r="J221" t="s">
        <v>480</v>
      </c>
      <c r="K221" t="s">
        <v>449</v>
      </c>
      <c r="N221" t="s">
        <v>368</v>
      </c>
    </row>
    <row r="222" spans="1:21" x14ac:dyDescent="0.35">
      <c r="A222" s="28" t="s">
        <v>32</v>
      </c>
      <c r="B222" t="s">
        <v>600</v>
      </c>
      <c r="C222" s="28" t="s">
        <v>34</v>
      </c>
      <c r="E222" t="s">
        <v>84</v>
      </c>
      <c r="F222" t="s">
        <v>38</v>
      </c>
      <c r="H222">
        <v>0</v>
      </c>
      <c r="J222" t="s">
        <v>488</v>
      </c>
      <c r="K222" t="s">
        <v>507</v>
      </c>
      <c r="N222" t="s">
        <v>368</v>
      </c>
    </row>
    <row r="223" spans="1:21" x14ac:dyDescent="0.35">
      <c r="A223" s="28" t="s">
        <v>32</v>
      </c>
      <c r="B223" t="s">
        <v>599</v>
      </c>
      <c r="C223" s="28" t="s">
        <v>34</v>
      </c>
      <c r="E223" t="s">
        <v>84</v>
      </c>
      <c r="F223" t="s">
        <v>37</v>
      </c>
      <c r="H223">
        <v>0</v>
      </c>
      <c r="J223" t="s">
        <v>485</v>
      </c>
      <c r="K223" t="s">
        <v>446</v>
      </c>
      <c r="N223" t="s">
        <v>368</v>
      </c>
    </row>
    <row r="224" spans="1:21" x14ac:dyDescent="0.35">
      <c r="A224" s="28" t="s">
        <v>32</v>
      </c>
      <c r="B224" t="s">
        <v>598</v>
      </c>
      <c r="C224" s="28" t="s">
        <v>34</v>
      </c>
      <c r="E224" t="s">
        <v>84</v>
      </c>
      <c r="F224" t="s">
        <v>36</v>
      </c>
      <c r="H224">
        <v>0</v>
      </c>
      <c r="J224" t="s">
        <v>482</v>
      </c>
      <c r="K224" t="s">
        <v>452</v>
      </c>
      <c r="N224" t="s">
        <v>368</v>
      </c>
    </row>
    <row r="225" spans="1:23" s="204" customFormat="1" x14ac:dyDescent="0.35">
      <c r="A225" s="203" t="s">
        <v>32</v>
      </c>
      <c r="B225" s="204" t="s">
        <v>1890</v>
      </c>
      <c r="C225" s="203" t="s">
        <v>34</v>
      </c>
      <c r="E225" s="204" t="s">
        <v>84</v>
      </c>
      <c r="F225" s="204" t="s">
        <v>1891</v>
      </c>
      <c r="H225" s="204">
        <v>0</v>
      </c>
      <c r="J225" s="204" t="s">
        <v>1791</v>
      </c>
      <c r="K225" s="204" t="s">
        <v>1766</v>
      </c>
      <c r="N225" s="204" t="s">
        <v>368</v>
      </c>
    </row>
    <row r="226" spans="1:23" s="204" customFormat="1" x14ac:dyDescent="0.35">
      <c r="A226" s="203" t="s">
        <v>32</v>
      </c>
      <c r="B226" s="204" t="s">
        <v>1892</v>
      </c>
      <c r="C226" s="203" t="s">
        <v>34</v>
      </c>
      <c r="E226" s="204" t="s">
        <v>84</v>
      </c>
      <c r="F226" s="204" t="s">
        <v>1893</v>
      </c>
      <c r="H226" s="204">
        <v>0</v>
      </c>
      <c r="J226" s="204" t="s">
        <v>1791</v>
      </c>
      <c r="K226" s="204" t="s">
        <v>1770</v>
      </c>
      <c r="N226" s="204" t="s">
        <v>368</v>
      </c>
    </row>
    <row r="227" spans="1:23" s="204" customFormat="1" x14ac:dyDescent="0.35">
      <c r="A227" s="203" t="s">
        <v>32</v>
      </c>
      <c r="B227" s="204" t="s">
        <v>1894</v>
      </c>
      <c r="C227" s="203" t="s">
        <v>34</v>
      </c>
      <c r="E227" s="204" t="s">
        <v>84</v>
      </c>
      <c r="F227" s="204" t="s">
        <v>1895</v>
      </c>
      <c r="H227" s="204">
        <v>0</v>
      </c>
      <c r="J227" s="204" t="s">
        <v>1803</v>
      </c>
      <c r="K227" s="204" t="s">
        <v>449</v>
      </c>
      <c r="N227" s="204" t="s">
        <v>368</v>
      </c>
    </row>
    <row r="228" spans="1:23" x14ac:dyDescent="0.35">
      <c r="A228" s="203" t="s">
        <v>1762</v>
      </c>
      <c r="B228" s="204" t="s">
        <v>1859</v>
      </c>
      <c r="C228" s="203" t="s">
        <v>1917</v>
      </c>
      <c r="D228" s="204"/>
      <c r="E228" s="204" t="s">
        <v>1764</v>
      </c>
      <c r="F228" s="204" t="s">
        <v>1762</v>
      </c>
      <c r="G228" s="204"/>
      <c r="H228" s="204">
        <v>0</v>
      </c>
      <c r="I228" s="204" t="b">
        <v>1</v>
      </c>
      <c r="J228" s="204"/>
      <c r="K228" s="204" t="s">
        <v>449</v>
      </c>
      <c r="L228" s="204" t="s">
        <v>495</v>
      </c>
      <c r="M228" s="204"/>
      <c r="N228" s="204" t="s">
        <v>368</v>
      </c>
      <c r="O228" s="204"/>
      <c r="P228" s="204"/>
      <c r="Q228" s="204"/>
      <c r="R228" s="204"/>
      <c r="S228" s="204"/>
      <c r="T228" s="204"/>
      <c r="U228" s="204"/>
      <c r="V228" s="204"/>
      <c r="W228" s="204"/>
    </row>
    <row r="229" spans="1:23" x14ac:dyDescent="0.35">
      <c r="A229" s="203" t="s">
        <v>1762</v>
      </c>
      <c r="B229" s="204" t="s">
        <v>1763</v>
      </c>
      <c r="C229" s="203" t="s">
        <v>1917</v>
      </c>
      <c r="D229" s="204"/>
      <c r="E229" s="204" t="s">
        <v>1764</v>
      </c>
      <c r="F229" s="204" t="s">
        <v>1765</v>
      </c>
      <c r="G229" s="204"/>
      <c r="H229" s="204">
        <v>0</v>
      </c>
      <c r="I229" s="204" t="b">
        <v>1</v>
      </c>
      <c r="J229" s="204"/>
      <c r="K229" s="204" t="s">
        <v>1766</v>
      </c>
      <c r="L229" s="204" t="s">
        <v>1767</v>
      </c>
      <c r="M229" s="204"/>
      <c r="N229" s="204" t="s">
        <v>368</v>
      </c>
      <c r="O229" s="204"/>
      <c r="P229" s="204"/>
      <c r="Q229" s="204"/>
      <c r="R229" s="204"/>
      <c r="S229" s="204"/>
      <c r="T229" s="204"/>
      <c r="U229" s="204"/>
      <c r="V229" s="204"/>
      <c r="W229" s="204"/>
    </row>
    <row r="230" spans="1:23" x14ac:dyDescent="0.35">
      <c r="A230" s="203" t="s">
        <v>1762</v>
      </c>
      <c r="B230" s="204" t="s">
        <v>1768</v>
      </c>
      <c r="C230" s="203" t="s">
        <v>1917</v>
      </c>
      <c r="D230" s="204"/>
      <c r="E230" s="204" t="s">
        <v>1764</v>
      </c>
      <c r="F230" s="204" t="s">
        <v>1769</v>
      </c>
      <c r="G230" s="204"/>
      <c r="H230" s="204">
        <v>0</v>
      </c>
      <c r="I230" s="204" t="b">
        <v>1</v>
      </c>
      <c r="J230" s="204"/>
      <c r="K230" s="204" t="s">
        <v>1770</v>
      </c>
      <c r="L230" s="204" t="s">
        <v>1767</v>
      </c>
      <c r="M230" s="204"/>
      <c r="N230" s="204" t="s">
        <v>368</v>
      </c>
      <c r="O230" s="204"/>
      <c r="P230" s="204"/>
      <c r="Q230" s="204"/>
      <c r="R230" s="204"/>
      <c r="S230" s="204"/>
      <c r="T230" s="204"/>
      <c r="U230" s="204"/>
      <c r="V230" s="204"/>
      <c r="W230" s="204"/>
    </row>
    <row r="231" spans="1:23" x14ac:dyDescent="0.35">
      <c r="A231" s="203" t="s">
        <v>1762</v>
      </c>
      <c r="B231" s="204" t="s">
        <v>1771</v>
      </c>
      <c r="C231" s="203" t="s">
        <v>1917</v>
      </c>
      <c r="D231" s="204"/>
      <c r="E231" s="204" t="s">
        <v>1764</v>
      </c>
      <c r="F231" s="204" t="s">
        <v>1772</v>
      </c>
      <c r="G231" s="204"/>
      <c r="H231" s="204">
        <v>0</v>
      </c>
      <c r="I231" s="204" t="b">
        <v>1</v>
      </c>
      <c r="J231" s="204"/>
      <c r="K231" s="204" t="s">
        <v>449</v>
      </c>
      <c r="L231" s="204" t="s">
        <v>1773</v>
      </c>
      <c r="M231" s="204"/>
      <c r="N231" s="204" t="s">
        <v>368</v>
      </c>
      <c r="O231" s="204"/>
      <c r="P231" s="204"/>
      <c r="Q231" s="204"/>
      <c r="R231" s="204"/>
      <c r="S231" s="204"/>
      <c r="T231" s="204"/>
      <c r="U231" s="204"/>
      <c r="V231" s="204"/>
      <c r="W231" s="204"/>
    </row>
    <row r="232" spans="1:23" x14ac:dyDescent="0.35">
      <c r="A232" s="203" t="s">
        <v>1858</v>
      </c>
      <c r="B232" s="204" t="s">
        <v>1857</v>
      </c>
      <c r="C232" s="203" t="s">
        <v>1916</v>
      </c>
      <c r="D232" s="204"/>
      <c r="E232" s="204" t="s">
        <v>1764</v>
      </c>
      <c r="F232" s="204" t="s">
        <v>1858</v>
      </c>
      <c r="G232" s="204"/>
      <c r="H232" s="204"/>
      <c r="I232" s="204" t="b">
        <v>1</v>
      </c>
      <c r="J232" s="204"/>
      <c r="K232" s="204" t="s">
        <v>449</v>
      </c>
      <c r="L232" s="204" t="s">
        <v>495</v>
      </c>
      <c r="M232" s="204"/>
      <c r="N232" s="204" t="s">
        <v>368</v>
      </c>
      <c r="O232" s="204"/>
      <c r="P232" s="204"/>
      <c r="Q232" s="204"/>
      <c r="R232" s="204"/>
      <c r="S232" s="204"/>
      <c r="T232" s="204"/>
      <c r="U232" s="204"/>
      <c r="V232" s="204"/>
      <c r="W232" s="204"/>
    </row>
    <row r="233" spans="1:23" x14ac:dyDescent="0.35">
      <c r="A233" s="28" t="s">
        <v>83</v>
      </c>
      <c r="B233" t="s">
        <v>601</v>
      </c>
      <c r="C233" s="28" t="s">
        <v>67</v>
      </c>
      <c r="E233" t="s">
        <v>995</v>
      </c>
      <c r="F233" t="s">
        <v>20</v>
      </c>
      <c r="J233" t="s">
        <v>480</v>
      </c>
      <c r="K233" t="s">
        <v>449</v>
      </c>
      <c r="N233" t="s">
        <v>368</v>
      </c>
    </row>
    <row r="234" spans="1:23" x14ac:dyDescent="0.35">
      <c r="A234" s="28" t="s">
        <v>59</v>
      </c>
      <c r="B234" t="s">
        <v>1668</v>
      </c>
      <c r="C234" s="28" t="s">
        <v>34</v>
      </c>
      <c r="E234" t="s">
        <v>61</v>
      </c>
      <c r="F234" t="s">
        <v>59</v>
      </c>
      <c r="L234" t="s">
        <v>371</v>
      </c>
      <c r="N234" t="s">
        <v>368</v>
      </c>
    </row>
    <row r="235" spans="1:23" x14ac:dyDescent="0.35">
      <c r="A235" s="28" t="s">
        <v>59</v>
      </c>
      <c r="B235" t="s">
        <v>1669</v>
      </c>
      <c r="C235" s="28" t="s">
        <v>34</v>
      </c>
      <c r="E235" t="s">
        <v>61</v>
      </c>
      <c r="F235" t="s">
        <v>602</v>
      </c>
      <c r="L235" t="s">
        <v>371</v>
      </c>
      <c r="N235" t="s">
        <v>464</v>
      </c>
    </row>
    <row r="236" spans="1:23" x14ac:dyDescent="0.35">
      <c r="A236" s="28" t="s">
        <v>82</v>
      </c>
      <c r="B236" t="s">
        <v>1154</v>
      </c>
      <c r="C236" s="28" t="s">
        <v>67</v>
      </c>
      <c r="E236" t="s">
        <v>999</v>
      </c>
      <c r="F236" t="s">
        <v>1160</v>
      </c>
      <c r="L236" t="s">
        <v>1166</v>
      </c>
      <c r="M236" t="s">
        <v>359</v>
      </c>
      <c r="N236" t="s">
        <v>363</v>
      </c>
    </row>
    <row r="237" spans="1:23" x14ac:dyDescent="0.35">
      <c r="A237" s="28" t="s">
        <v>82</v>
      </c>
      <c r="B237" t="s">
        <v>1155</v>
      </c>
      <c r="C237" s="28" t="s">
        <v>67</v>
      </c>
      <c r="E237" t="s">
        <v>999</v>
      </c>
      <c r="F237" t="s">
        <v>609</v>
      </c>
      <c r="I237" t="b">
        <v>1</v>
      </c>
      <c r="L237" t="s">
        <v>1161</v>
      </c>
      <c r="M237" t="s">
        <v>359</v>
      </c>
      <c r="N237" t="s">
        <v>368</v>
      </c>
    </row>
    <row r="238" spans="1:23" x14ac:dyDescent="0.35">
      <c r="A238" s="28" t="s">
        <v>82</v>
      </c>
      <c r="B238" t="s">
        <v>603</v>
      </c>
      <c r="C238" s="28" t="s">
        <v>67</v>
      </c>
      <c r="E238" t="s">
        <v>999</v>
      </c>
      <c r="F238" t="s">
        <v>82</v>
      </c>
      <c r="L238" t="s">
        <v>486</v>
      </c>
      <c r="M238" t="s">
        <v>359</v>
      </c>
      <c r="N238" t="s">
        <v>368</v>
      </c>
    </row>
    <row r="239" spans="1:23" x14ac:dyDescent="0.35">
      <c r="A239" s="28" t="s">
        <v>82</v>
      </c>
      <c r="B239" t="s">
        <v>1156</v>
      </c>
      <c r="C239" s="28" t="s">
        <v>67</v>
      </c>
      <c r="E239" t="s">
        <v>999</v>
      </c>
      <c r="F239" t="s">
        <v>604</v>
      </c>
      <c r="L239" t="s">
        <v>1162</v>
      </c>
      <c r="M239" t="s">
        <v>359</v>
      </c>
      <c r="N239" t="s">
        <v>368</v>
      </c>
    </row>
    <row r="240" spans="1:23" x14ac:dyDescent="0.35">
      <c r="A240" s="28" t="s">
        <v>82</v>
      </c>
      <c r="B240" t="s">
        <v>1157</v>
      </c>
      <c r="C240" s="28" t="s">
        <v>67</v>
      </c>
      <c r="E240" t="s">
        <v>999</v>
      </c>
      <c r="F240" t="s">
        <v>605</v>
      </c>
      <c r="L240" t="s">
        <v>1163</v>
      </c>
      <c r="M240" t="s">
        <v>359</v>
      </c>
      <c r="N240" t="s">
        <v>368</v>
      </c>
    </row>
    <row r="241" spans="1:23" x14ac:dyDescent="0.35">
      <c r="A241" s="28" t="s">
        <v>82</v>
      </c>
      <c r="B241" t="s">
        <v>606</v>
      </c>
      <c r="C241" s="28" t="s">
        <v>67</v>
      </c>
      <c r="E241" t="s">
        <v>999</v>
      </c>
      <c r="F241" t="s">
        <v>607</v>
      </c>
      <c r="L241" t="s">
        <v>608</v>
      </c>
      <c r="M241" t="s">
        <v>359</v>
      </c>
      <c r="N241" t="s">
        <v>368</v>
      </c>
    </row>
    <row r="242" spans="1:23" x14ac:dyDescent="0.35">
      <c r="A242" s="28" t="s">
        <v>78</v>
      </c>
      <c r="B242" t="s">
        <v>79</v>
      </c>
      <c r="C242" s="28" t="s">
        <v>1916</v>
      </c>
      <c r="E242" t="s">
        <v>1000</v>
      </c>
      <c r="F242" t="s">
        <v>78</v>
      </c>
      <c r="H242">
        <v>1</v>
      </c>
      <c r="L242" t="s">
        <v>367</v>
      </c>
      <c r="N242" t="s">
        <v>368</v>
      </c>
    </row>
    <row r="243" spans="1:23" x14ac:dyDescent="0.35">
      <c r="A243" s="28" t="s">
        <v>78</v>
      </c>
      <c r="B243" t="s">
        <v>612</v>
      </c>
      <c r="C243" s="28" t="s">
        <v>1916</v>
      </c>
      <c r="E243" t="s">
        <v>1000</v>
      </c>
      <c r="F243" t="s">
        <v>613</v>
      </c>
      <c r="H243">
        <v>1</v>
      </c>
      <c r="I243" t="b">
        <v>1</v>
      </c>
      <c r="L243" t="s">
        <v>489</v>
      </c>
      <c r="N243" t="s">
        <v>368</v>
      </c>
    </row>
    <row r="244" spans="1:23" x14ac:dyDescent="0.35">
      <c r="A244" s="28" t="s">
        <v>78</v>
      </c>
      <c r="B244" t="s">
        <v>1488</v>
      </c>
      <c r="C244" s="28" t="s">
        <v>1916</v>
      </c>
      <c r="E244" t="s">
        <v>1000</v>
      </c>
      <c r="F244" t="s">
        <v>1489</v>
      </c>
      <c r="H244">
        <v>1</v>
      </c>
      <c r="L244" t="s">
        <v>1478</v>
      </c>
      <c r="N244" t="s">
        <v>368</v>
      </c>
    </row>
    <row r="245" spans="1:23" x14ac:dyDescent="0.35">
      <c r="A245" s="28" t="s">
        <v>78</v>
      </c>
      <c r="B245" t="s">
        <v>1198</v>
      </c>
      <c r="C245" s="28" t="s">
        <v>1916</v>
      </c>
      <c r="E245" t="s">
        <v>1000</v>
      </c>
      <c r="F245" t="s">
        <v>1200</v>
      </c>
      <c r="H245">
        <v>1</v>
      </c>
      <c r="L245" t="s">
        <v>1202</v>
      </c>
      <c r="N245" t="s">
        <v>368</v>
      </c>
    </row>
    <row r="246" spans="1:23" x14ac:dyDescent="0.35">
      <c r="A246" s="28" t="s">
        <v>78</v>
      </c>
      <c r="B246" t="s">
        <v>611</v>
      </c>
      <c r="C246" s="28" t="s">
        <v>1916</v>
      </c>
      <c r="E246" t="s">
        <v>1000</v>
      </c>
      <c r="F246" t="s">
        <v>81</v>
      </c>
      <c r="H246">
        <v>1</v>
      </c>
      <c r="L246" t="s">
        <v>486</v>
      </c>
      <c r="N246" t="s">
        <v>368</v>
      </c>
    </row>
    <row r="247" spans="1:23" x14ac:dyDescent="0.35">
      <c r="A247" s="28" t="s">
        <v>78</v>
      </c>
      <c r="B247" t="s">
        <v>1708</v>
      </c>
      <c r="C247" s="28" t="s">
        <v>1916</v>
      </c>
      <c r="E247" t="s">
        <v>1000</v>
      </c>
      <c r="F247" t="s">
        <v>1710</v>
      </c>
      <c r="H247">
        <v>1</v>
      </c>
      <c r="L247" t="s">
        <v>1702</v>
      </c>
      <c r="N247" t="s">
        <v>368</v>
      </c>
    </row>
    <row r="248" spans="1:23" x14ac:dyDescent="0.35">
      <c r="A248" s="28" t="s">
        <v>78</v>
      </c>
      <c r="B248" t="s">
        <v>1709</v>
      </c>
      <c r="C248" s="28" t="s">
        <v>1916</v>
      </c>
      <c r="E248" t="s">
        <v>1000</v>
      </c>
      <c r="F248" t="s">
        <v>1711</v>
      </c>
      <c r="H248">
        <v>1</v>
      </c>
      <c r="L248" t="s">
        <v>1703</v>
      </c>
      <c r="N248" t="s">
        <v>368</v>
      </c>
    </row>
    <row r="249" spans="1:23" x14ac:dyDescent="0.35">
      <c r="A249" s="28" t="s">
        <v>78</v>
      </c>
      <c r="B249" t="s">
        <v>1197</v>
      </c>
      <c r="C249" s="28" t="s">
        <v>1916</v>
      </c>
      <c r="E249" t="s">
        <v>1000</v>
      </c>
      <c r="F249" t="s">
        <v>1199</v>
      </c>
      <c r="H249">
        <v>1</v>
      </c>
      <c r="L249" t="s">
        <v>1201</v>
      </c>
      <c r="N249" t="s">
        <v>368</v>
      </c>
    </row>
    <row r="250" spans="1:23" x14ac:dyDescent="0.35">
      <c r="A250" s="28" t="s">
        <v>78</v>
      </c>
      <c r="B250" t="s">
        <v>1600</v>
      </c>
      <c r="C250" s="28" t="s">
        <v>1916</v>
      </c>
      <c r="E250" t="s">
        <v>1000</v>
      </c>
      <c r="F250" t="s">
        <v>1601</v>
      </c>
      <c r="H250">
        <v>1</v>
      </c>
      <c r="L250" t="s">
        <v>1607</v>
      </c>
      <c r="N250" t="s">
        <v>368</v>
      </c>
    </row>
    <row r="251" spans="1:23" s="204" customFormat="1" x14ac:dyDescent="0.35">
      <c r="A251" s="28" t="s">
        <v>78</v>
      </c>
      <c r="B251" t="s">
        <v>1675</v>
      </c>
      <c r="C251" s="28" t="s">
        <v>1916</v>
      </c>
      <c r="D251"/>
      <c r="E251" t="s">
        <v>1000</v>
      </c>
      <c r="F251" t="s">
        <v>1490</v>
      </c>
      <c r="G251"/>
      <c r="H251">
        <v>1</v>
      </c>
      <c r="I251"/>
      <c r="J251"/>
      <c r="K251"/>
      <c r="L251" t="s">
        <v>1678</v>
      </c>
      <c r="M251"/>
      <c r="N251" t="s">
        <v>368</v>
      </c>
      <c r="O251"/>
      <c r="P251"/>
      <c r="Q251"/>
      <c r="R251"/>
      <c r="S251"/>
      <c r="T251"/>
      <c r="U251"/>
      <c r="V251"/>
      <c r="W251"/>
    </row>
    <row r="252" spans="1:23" s="204" customFormat="1" x14ac:dyDescent="0.35">
      <c r="A252" s="28" t="s">
        <v>78</v>
      </c>
      <c r="B252" t="s">
        <v>1141</v>
      </c>
      <c r="C252" s="28" t="s">
        <v>1916</v>
      </c>
      <c r="D252"/>
      <c r="E252" t="s">
        <v>1000</v>
      </c>
      <c r="F252" t="s">
        <v>1140</v>
      </c>
      <c r="G252"/>
      <c r="H252">
        <v>1</v>
      </c>
      <c r="I252"/>
      <c r="J252"/>
      <c r="K252"/>
      <c r="L252" t="s">
        <v>1143</v>
      </c>
      <c r="M252"/>
      <c r="N252" t="s">
        <v>363</v>
      </c>
      <c r="O252"/>
      <c r="P252"/>
      <c r="Q252"/>
      <c r="R252"/>
      <c r="S252"/>
      <c r="T252"/>
      <c r="U252"/>
      <c r="V252"/>
      <c r="W252"/>
    </row>
    <row r="253" spans="1:23" s="204" customFormat="1" x14ac:dyDescent="0.35">
      <c r="A253" s="28" t="s">
        <v>78</v>
      </c>
      <c r="B253" t="s">
        <v>1665</v>
      </c>
      <c r="C253" s="28" t="s">
        <v>1916</v>
      </c>
      <c r="D253"/>
      <c r="E253" t="s">
        <v>1000</v>
      </c>
      <c r="F253" t="s">
        <v>1224</v>
      </c>
      <c r="G253"/>
      <c r="H253">
        <v>1</v>
      </c>
      <c r="I253" t="b">
        <v>1</v>
      </c>
      <c r="J253"/>
      <c r="K253"/>
      <c r="L253" t="s">
        <v>1225</v>
      </c>
      <c r="M253"/>
      <c r="N253" t="s">
        <v>368</v>
      </c>
      <c r="O253"/>
      <c r="P253"/>
      <c r="Q253"/>
      <c r="R253"/>
      <c r="S253"/>
      <c r="T253"/>
      <c r="U253"/>
      <c r="V253"/>
      <c r="W253"/>
    </row>
    <row r="254" spans="1:23" s="204" customFormat="1" x14ac:dyDescent="0.35">
      <c r="A254" s="28" t="s">
        <v>78</v>
      </c>
      <c r="B254" t="s">
        <v>610</v>
      </c>
      <c r="C254" s="28" t="s">
        <v>1916</v>
      </c>
      <c r="D254"/>
      <c r="E254" t="s">
        <v>1000</v>
      </c>
      <c r="F254" t="s">
        <v>80</v>
      </c>
      <c r="G254"/>
      <c r="H254">
        <v>1</v>
      </c>
      <c r="I254"/>
      <c r="J254"/>
      <c r="K254"/>
      <c r="L254" t="s">
        <v>483</v>
      </c>
      <c r="M254"/>
      <c r="N254" t="s">
        <v>368</v>
      </c>
      <c r="O254"/>
      <c r="P254"/>
      <c r="Q254"/>
      <c r="R254"/>
      <c r="S254"/>
      <c r="T254"/>
      <c r="U254"/>
      <c r="V254"/>
      <c r="W254"/>
    </row>
    <row r="255" spans="1:23" x14ac:dyDescent="0.35">
      <c r="A255" s="203" t="s">
        <v>78</v>
      </c>
      <c r="B255" s="204" t="s">
        <v>1799</v>
      </c>
      <c r="C255" s="203" t="s">
        <v>1916</v>
      </c>
      <c r="D255" s="204"/>
      <c r="E255" s="204" t="s">
        <v>1000</v>
      </c>
      <c r="F255" s="204" t="s">
        <v>1800</v>
      </c>
      <c r="G255" s="204"/>
      <c r="H255" s="204">
        <v>1</v>
      </c>
      <c r="I255" s="204"/>
      <c r="J255" s="204"/>
      <c r="K255" s="204"/>
      <c r="L255" s="204" t="s">
        <v>1792</v>
      </c>
      <c r="M255" s="204"/>
      <c r="N255" s="204" t="s">
        <v>368</v>
      </c>
      <c r="O255" s="204"/>
      <c r="P255" s="204"/>
      <c r="Q255" s="204"/>
      <c r="R255" s="204"/>
      <c r="S255" s="204"/>
      <c r="T255" s="204"/>
      <c r="U255" s="204"/>
      <c r="V255" s="204"/>
      <c r="W255" s="20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6FB79-8CD1-47EA-B255-495713380EC8}">
  <sheetPr>
    <tabColor theme="9"/>
    <outlinePr summaryBelow="0"/>
    <pageSetUpPr fitToPage="1"/>
  </sheetPr>
  <dimension ref="A1:F97"/>
  <sheetViews>
    <sheetView tabSelected="1" topLeftCell="A57" zoomScale="162" zoomScaleNormal="85" workbookViewId="0">
      <selection activeCell="C95" sqref="C95"/>
    </sheetView>
  </sheetViews>
  <sheetFormatPr defaultColWidth="8.81640625" defaultRowHeight="14.5" x14ac:dyDescent="0.35"/>
  <cols>
    <col min="1" max="1" width="16.453125" bestFit="1" customWidth="1"/>
    <col min="2" max="2" width="21.81640625" bestFit="1" customWidth="1"/>
    <col min="3" max="3" width="138" customWidth="1"/>
    <col min="4" max="4" width="117.453125" bestFit="1" customWidth="1"/>
    <col min="5" max="5" width="7.453125" bestFit="1" customWidth="1"/>
  </cols>
  <sheetData>
    <row r="1" spans="1:5" x14ac:dyDescent="0.35">
      <c r="A1" t="s">
        <v>614</v>
      </c>
      <c r="B1" t="s">
        <v>180</v>
      </c>
      <c r="C1" t="s">
        <v>615</v>
      </c>
      <c r="D1" t="s">
        <v>121</v>
      </c>
      <c r="E1" t="s">
        <v>357</v>
      </c>
    </row>
    <row r="2" spans="1:5" x14ac:dyDescent="0.35">
      <c r="A2" s="100" t="s">
        <v>777</v>
      </c>
      <c r="B2" s="100"/>
      <c r="C2" s="100" t="s">
        <v>1158</v>
      </c>
      <c r="D2" s="100" t="s">
        <v>660</v>
      </c>
      <c r="E2" s="100"/>
    </row>
    <row r="3" spans="1:5" x14ac:dyDescent="0.35">
      <c r="A3" s="100" t="s">
        <v>777</v>
      </c>
      <c r="B3" s="100"/>
      <c r="C3" s="100" t="s">
        <v>1159</v>
      </c>
      <c r="D3" s="100" t="s">
        <v>660</v>
      </c>
      <c r="E3" s="100"/>
    </row>
    <row r="4" spans="1:5" x14ac:dyDescent="0.35">
      <c r="A4" s="100" t="s">
        <v>777</v>
      </c>
      <c r="B4" s="100"/>
      <c r="C4" s="100" t="s">
        <v>1152</v>
      </c>
      <c r="D4" s="100" t="s">
        <v>661</v>
      </c>
      <c r="E4" s="100"/>
    </row>
    <row r="5" spans="1:5" x14ac:dyDescent="0.35">
      <c r="A5" s="100" t="s">
        <v>777</v>
      </c>
      <c r="B5" s="100"/>
      <c r="C5" s="100" t="s">
        <v>1153</v>
      </c>
      <c r="D5" s="100" t="s">
        <v>661</v>
      </c>
      <c r="E5" s="100"/>
    </row>
    <row r="6" spans="1:5" x14ac:dyDescent="0.35">
      <c r="A6" s="100" t="s">
        <v>777</v>
      </c>
      <c r="B6" s="100"/>
      <c r="C6" s="100" t="s">
        <v>981</v>
      </c>
      <c r="D6" s="100" t="s">
        <v>648</v>
      </c>
      <c r="E6" s="100"/>
    </row>
    <row r="7" spans="1:5" x14ac:dyDescent="0.35">
      <c r="A7" s="100" t="s">
        <v>777</v>
      </c>
      <c r="B7" s="100"/>
      <c r="C7" s="100" t="s">
        <v>980</v>
      </c>
      <c r="D7" s="100" t="s">
        <v>649</v>
      </c>
      <c r="E7" s="100"/>
    </row>
    <row r="8" spans="1:5" x14ac:dyDescent="0.35">
      <c r="A8" s="100" t="s">
        <v>777</v>
      </c>
      <c r="B8" s="100"/>
      <c r="C8" s="100" t="s">
        <v>978</v>
      </c>
      <c r="D8" s="100" t="s">
        <v>647</v>
      </c>
      <c r="E8" s="100"/>
    </row>
    <row r="9" spans="1:5" x14ac:dyDescent="0.35">
      <c r="A9" s="100" t="s">
        <v>777</v>
      </c>
      <c r="B9" s="100"/>
      <c r="C9" s="100" t="s">
        <v>977</v>
      </c>
      <c r="D9" s="100" t="s">
        <v>646</v>
      </c>
      <c r="E9" s="100"/>
    </row>
    <row r="10" spans="1:5" x14ac:dyDescent="0.35">
      <c r="A10" s="100" t="s">
        <v>777</v>
      </c>
      <c r="B10" s="100"/>
      <c r="C10" s="100" t="s">
        <v>650</v>
      </c>
      <c r="D10" s="100" t="s">
        <v>651</v>
      </c>
      <c r="E10" s="100"/>
    </row>
    <row r="11" spans="1:5" x14ac:dyDescent="0.35">
      <c r="A11" s="100" t="s">
        <v>777</v>
      </c>
      <c r="B11" s="100"/>
      <c r="C11" s="100" t="s">
        <v>1565</v>
      </c>
      <c r="D11" s="100" t="s">
        <v>1528</v>
      </c>
      <c r="E11" s="100"/>
    </row>
    <row r="12" spans="1:5" x14ac:dyDescent="0.35">
      <c r="A12" s="100" t="s">
        <v>777</v>
      </c>
      <c r="B12" s="100"/>
      <c r="C12" s="100" t="s">
        <v>1567</v>
      </c>
      <c r="D12" s="100" t="s">
        <v>1535</v>
      </c>
      <c r="E12" s="100"/>
    </row>
    <row r="13" spans="1:5" x14ac:dyDescent="0.35">
      <c r="A13" t="s">
        <v>777</v>
      </c>
      <c r="C13" t="s">
        <v>1696</v>
      </c>
      <c r="D13" t="s">
        <v>1694</v>
      </c>
    </row>
    <row r="14" spans="1:5" x14ac:dyDescent="0.35">
      <c r="A14" t="s">
        <v>777</v>
      </c>
      <c r="C14" t="s">
        <v>1697</v>
      </c>
      <c r="D14" t="s">
        <v>1695</v>
      </c>
    </row>
    <row r="15" spans="1:5" x14ac:dyDescent="0.35">
      <c r="A15" t="s">
        <v>777</v>
      </c>
      <c r="C15" t="s">
        <v>1623</v>
      </c>
      <c r="D15" t="s">
        <v>1534</v>
      </c>
    </row>
    <row r="16" spans="1:5" x14ac:dyDescent="0.35">
      <c r="A16" t="s">
        <v>777</v>
      </c>
      <c r="C16" t="s">
        <v>1566</v>
      </c>
      <c r="D16" t="s">
        <v>1529</v>
      </c>
    </row>
    <row r="17" spans="1:4" x14ac:dyDescent="0.35">
      <c r="A17" t="s">
        <v>777</v>
      </c>
      <c r="C17" t="s">
        <v>1595</v>
      </c>
      <c r="D17" t="s">
        <v>1596</v>
      </c>
    </row>
    <row r="18" spans="1:4" x14ac:dyDescent="0.35">
      <c r="A18" t="s">
        <v>777</v>
      </c>
      <c r="C18" t="s">
        <v>1171</v>
      </c>
      <c r="D18" t="s">
        <v>428</v>
      </c>
    </row>
    <row r="19" spans="1:4" x14ac:dyDescent="0.35">
      <c r="A19" t="s">
        <v>777</v>
      </c>
      <c r="C19" t="s">
        <v>1172</v>
      </c>
      <c r="D19" t="s">
        <v>434</v>
      </c>
    </row>
    <row r="20" spans="1:4" x14ac:dyDescent="0.35">
      <c r="A20" t="s">
        <v>777</v>
      </c>
      <c r="C20" t="s">
        <v>1482</v>
      </c>
      <c r="D20" t="s">
        <v>1484</v>
      </c>
    </row>
    <row r="21" spans="1:4" x14ac:dyDescent="0.35">
      <c r="A21" t="s">
        <v>777</v>
      </c>
      <c r="C21" t="s">
        <v>1211</v>
      </c>
      <c r="D21" t="s">
        <v>1194</v>
      </c>
    </row>
    <row r="22" spans="1:4" x14ac:dyDescent="0.35">
      <c r="A22" t="s">
        <v>777</v>
      </c>
      <c r="C22" t="s">
        <v>1706</v>
      </c>
      <c r="D22" t="s">
        <v>1704</v>
      </c>
    </row>
    <row r="23" spans="1:4" x14ac:dyDescent="0.35">
      <c r="A23" t="s">
        <v>777</v>
      </c>
      <c r="C23" t="s">
        <v>1707</v>
      </c>
      <c r="D23" t="s">
        <v>1705</v>
      </c>
    </row>
    <row r="24" spans="1:4" x14ac:dyDescent="0.35">
      <c r="A24" t="s">
        <v>777</v>
      </c>
      <c r="C24" t="s">
        <v>1563</v>
      </c>
      <c r="D24" t="s">
        <v>1193</v>
      </c>
    </row>
    <row r="25" spans="1:4" x14ac:dyDescent="0.35">
      <c r="A25" t="s">
        <v>777</v>
      </c>
      <c r="C25" t="s">
        <v>1483</v>
      </c>
      <c r="D25" t="s">
        <v>1497</v>
      </c>
    </row>
    <row r="26" spans="1:4" x14ac:dyDescent="0.35">
      <c r="A26" t="s">
        <v>777</v>
      </c>
      <c r="C26" t="s">
        <v>1170</v>
      </c>
      <c r="D26" t="s">
        <v>431</v>
      </c>
    </row>
    <row r="27" spans="1:4" x14ac:dyDescent="0.35">
      <c r="A27" t="s">
        <v>777</v>
      </c>
      <c r="C27" t="s">
        <v>1169</v>
      </c>
      <c r="D27" t="s">
        <v>437</v>
      </c>
    </row>
    <row r="28" spans="1:4" x14ac:dyDescent="0.35">
      <c r="A28" t="s">
        <v>777</v>
      </c>
      <c r="C28" t="s">
        <v>1612</v>
      </c>
      <c r="D28" t="s">
        <v>1611</v>
      </c>
    </row>
    <row r="29" spans="1:4" x14ac:dyDescent="0.35">
      <c r="A29" t="s">
        <v>777</v>
      </c>
      <c r="C29" t="s">
        <v>1486</v>
      </c>
      <c r="D29" t="s">
        <v>1485</v>
      </c>
    </row>
    <row r="30" spans="1:4" x14ac:dyDescent="0.35">
      <c r="A30" t="s">
        <v>777</v>
      </c>
      <c r="C30" t="s">
        <v>1212</v>
      </c>
      <c r="D30" t="s">
        <v>1196</v>
      </c>
    </row>
    <row r="31" spans="1:4" x14ac:dyDescent="0.35">
      <c r="A31" t="s">
        <v>777</v>
      </c>
      <c r="C31" t="s">
        <v>1721</v>
      </c>
      <c r="D31" t="s">
        <v>1723</v>
      </c>
    </row>
    <row r="32" spans="1:4" x14ac:dyDescent="0.35">
      <c r="A32" t="s">
        <v>777</v>
      </c>
      <c r="C32" t="s">
        <v>1722</v>
      </c>
      <c r="D32" t="s">
        <v>1724</v>
      </c>
    </row>
    <row r="33" spans="1:5" x14ac:dyDescent="0.35">
      <c r="A33" t="s">
        <v>777</v>
      </c>
      <c r="C33" t="s">
        <v>1564</v>
      </c>
      <c r="D33" t="s">
        <v>1195</v>
      </c>
    </row>
    <row r="34" spans="1:5" x14ac:dyDescent="0.35">
      <c r="A34" t="s">
        <v>777</v>
      </c>
      <c r="C34" t="s">
        <v>1487</v>
      </c>
      <c r="D34" t="s">
        <v>1676</v>
      </c>
    </row>
    <row r="35" spans="1:5" x14ac:dyDescent="0.35">
      <c r="A35" t="s">
        <v>777</v>
      </c>
      <c r="C35" t="s">
        <v>1226</v>
      </c>
      <c r="D35" t="s">
        <v>1223</v>
      </c>
    </row>
    <row r="36" spans="1:5" x14ac:dyDescent="0.35">
      <c r="A36" t="s">
        <v>777</v>
      </c>
      <c r="C36" t="s">
        <v>616</v>
      </c>
      <c r="D36" t="s">
        <v>617</v>
      </c>
    </row>
    <row r="37" spans="1:5" x14ac:dyDescent="0.35">
      <c r="A37" t="s">
        <v>777</v>
      </c>
      <c r="C37" t="s">
        <v>618</v>
      </c>
      <c r="D37" t="s">
        <v>619</v>
      </c>
    </row>
    <row r="38" spans="1:5" x14ac:dyDescent="0.35">
      <c r="A38" t="s">
        <v>777</v>
      </c>
      <c r="C38" t="s">
        <v>653</v>
      </c>
      <c r="D38" t="s">
        <v>654</v>
      </c>
    </row>
    <row r="39" spans="1:5" x14ac:dyDescent="0.35">
      <c r="A39" t="s">
        <v>777</v>
      </c>
      <c r="C39" t="s">
        <v>656</v>
      </c>
      <c r="D39" t="s">
        <v>1022</v>
      </c>
    </row>
    <row r="40" spans="1:5" x14ac:dyDescent="0.35">
      <c r="A40" s="100" t="s">
        <v>777</v>
      </c>
      <c r="C40" s="100" t="s">
        <v>1020</v>
      </c>
      <c r="D40" t="s">
        <v>1021</v>
      </c>
      <c r="E40" s="100"/>
    </row>
    <row r="41" spans="1:5" x14ac:dyDescent="0.35">
      <c r="A41" s="100" t="s">
        <v>777</v>
      </c>
      <c r="C41" t="s">
        <v>979</v>
      </c>
      <c r="D41" t="s">
        <v>655</v>
      </c>
      <c r="E41" s="100"/>
    </row>
    <row r="42" spans="1:5" x14ac:dyDescent="0.35">
      <c r="A42" s="100" t="s">
        <v>777</v>
      </c>
      <c r="C42" t="s">
        <v>1229</v>
      </c>
      <c r="D42" t="s">
        <v>1079</v>
      </c>
      <c r="E42" s="100"/>
    </row>
    <row r="43" spans="1:5" x14ac:dyDescent="0.35">
      <c r="A43" s="100" t="s">
        <v>777</v>
      </c>
      <c r="C43" t="s">
        <v>1066</v>
      </c>
      <c r="D43" t="s">
        <v>1035</v>
      </c>
      <c r="E43" s="100"/>
    </row>
    <row r="44" spans="1:5" x14ac:dyDescent="0.35">
      <c r="A44" s="100" t="s">
        <v>777</v>
      </c>
      <c r="C44" t="s">
        <v>1070</v>
      </c>
      <c r="D44" t="s">
        <v>1077</v>
      </c>
      <c r="E44" s="100"/>
    </row>
    <row r="45" spans="1:5" x14ac:dyDescent="0.35">
      <c r="A45" s="204" t="s">
        <v>777</v>
      </c>
      <c r="B45" s="204"/>
      <c r="C45" s="204" t="s">
        <v>1888</v>
      </c>
      <c r="D45" s="204" t="s">
        <v>1889</v>
      </c>
      <c r="E45" s="204" t="s">
        <v>1919</v>
      </c>
    </row>
    <row r="46" spans="1:5" s="204" customFormat="1" x14ac:dyDescent="0.35">
      <c r="A46" s="204" t="s">
        <v>777</v>
      </c>
      <c r="C46" s="204" t="s">
        <v>1920</v>
      </c>
      <c r="D46" s="204" t="s">
        <v>1889</v>
      </c>
    </row>
    <row r="47" spans="1:5" x14ac:dyDescent="0.35">
      <c r="A47" s="100" t="s">
        <v>777</v>
      </c>
      <c r="C47" t="s">
        <v>658</v>
      </c>
      <c r="D47" t="s">
        <v>659</v>
      </c>
      <c r="E47" s="100"/>
    </row>
    <row r="48" spans="1:5" x14ac:dyDescent="0.35">
      <c r="A48" s="100" t="s">
        <v>777</v>
      </c>
      <c r="C48" t="s">
        <v>963</v>
      </c>
      <c r="D48" t="s">
        <v>657</v>
      </c>
      <c r="E48" s="100"/>
    </row>
    <row r="49" spans="1:5" x14ac:dyDescent="0.35">
      <c r="A49" s="100" t="s">
        <v>777</v>
      </c>
      <c r="C49" t="s">
        <v>1065</v>
      </c>
      <c r="D49" t="s">
        <v>1078</v>
      </c>
      <c r="E49" s="100"/>
    </row>
    <row r="50" spans="1:5" x14ac:dyDescent="0.35">
      <c r="A50" s="100" t="s">
        <v>1498</v>
      </c>
      <c r="B50" s="100"/>
      <c r="C50" s="100" t="s">
        <v>1105</v>
      </c>
      <c r="D50" s="100" t="s">
        <v>1103</v>
      </c>
      <c r="E50" s="100"/>
    </row>
    <row r="51" spans="1:5" x14ac:dyDescent="0.35">
      <c r="A51" s="100" t="s">
        <v>777</v>
      </c>
      <c r="C51" t="s">
        <v>637</v>
      </c>
      <c r="D51" t="s">
        <v>638</v>
      </c>
      <c r="E51" s="100"/>
    </row>
    <row r="52" spans="1:5" x14ac:dyDescent="0.35">
      <c r="A52" s="100" t="s">
        <v>777</v>
      </c>
      <c r="C52" t="s">
        <v>635</v>
      </c>
      <c r="D52" t="s">
        <v>636</v>
      </c>
      <c r="E52" s="100"/>
    </row>
    <row r="53" spans="1:5" x14ac:dyDescent="0.35">
      <c r="A53" s="100" t="s">
        <v>777</v>
      </c>
      <c r="C53" t="s">
        <v>639</v>
      </c>
      <c r="D53" t="s">
        <v>640</v>
      </c>
      <c r="E53" s="100"/>
    </row>
    <row r="54" spans="1:5" s="157" customFormat="1" x14ac:dyDescent="0.35">
      <c r="A54" s="100" t="s">
        <v>777</v>
      </c>
      <c r="B54"/>
      <c r="C54" t="s">
        <v>971</v>
      </c>
      <c r="D54" t="s">
        <v>641</v>
      </c>
      <c r="E54" s="100"/>
    </row>
    <row r="55" spans="1:5" s="157" customFormat="1" x14ac:dyDescent="0.35">
      <c r="A55" s="100" t="s">
        <v>777</v>
      </c>
      <c r="B55"/>
      <c r="C55" t="s">
        <v>1100</v>
      </c>
      <c r="D55" t="s">
        <v>652</v>
      </c>
      <c r="E55" s="100"/>
    </row>
    <row r="56" spans="1:5" s="157" customFormat="1" x14ac:dyDescent="0.35">
      <c r="A56" s="100" t="s">
        <v>777</v>
      </c>
      <c r="B56" s="100"/>
      <c r="C56" s="100" t="s">
        <v>1620</v>
      </c>
      <c r="D56" s="100" t="s">
        <v>1579</v>
      </c>
      <c r="E56" s="100"/>
    </row>
    <row r="57" spans="1:5" s="157" customFormat="1" x14ac:dyDescent="0.35">
      <c r="A57" s="100" t="s">
        <v>777</v>
      </c>
      <c r="B57" s="100"/>
      <c r="C57" s="100" t="s">
        <v>1618</v>
      </c>
      <c r="D57" s="100" t="s">
        <v>1578</v>
      </c>
      <c r="E57" s="100"/>
    </row>
    <row r="58" spans="1:5" s="157" customFormat="1" x14ac:dyDescent="0.35">
      <c r="A58" s="100" t="s">
        <v>777</v>
      </c>
      <c r="B58"/>
      <c r="C58" t="s">
        <v>642</v>
      </c>
      <c r="D58" t="s">
        <v>643</v>
      </c>
      <c r="E58" s="100"/>
    </row>
    <row r="59" spans="1:5" s="157" customFormat="1" x14ac:dyDescent="0.35">
      <c r="A59" s="100" t="s">
        <v>777</v>
      </c>
      <c r="B59" s="100"/>
      <c r="C59" s="100" t="s">
        <v>1227</v>
      </c>
      <c r="D59" s="100" t="s">
        <v>622</v>
      </c>
      <c r="E59" s="100"/>
    </row>
    <row r="60" spans="1:5" s="157" customFormat="1" x14ac:dyDescent="0.35">
      <c r="A60" s="100" t="s">
        <v>777</v>
      </c>
      <c r="B60" s="100"/>
      <c r="C60" s="100" t="s">
        <v>620</v>
      </c>
      <c r="D60" s="100" t="s">
        <v>621</v>
      </c>
      <c r="E60" s="100"/>
    </row>
    <row r="61" spans="1:5" x14ac:dyDescent="0.35">
      <c r="A61" s="100" t="s">
        <v>777</v>
      </c>
      <c r="B61" s="100"/>
      <c r="C61" s="100" t="s">
        <v>625</v>
      </c>
      <c r="D61" s="100" t="s">
        <v>626</v>
      </c>
      <c r="E61" s="100"/>
    </row>
    <row r="62" spans="1:5" x14ac:dyDescent="0.35">
      <c r="A62" s="100" t="s">
        <v>777</v>
      </c>
      <c r="B62" s="100"/>
      <c r="C62" s="100" t="s">
        <v>623</v>
      </c>
      <c r="D62" s="100" t="s">
        <v>624</v>
      </c>
      <c r="E62" s="100"/>
    </row>
    <row r="63" spans="1:5" x14ac:dyDescent="0.35">
      <c r="A63" s="100" t="s">
        <v>777</v>
      </c>
      <c r="B63" s="100"/>
      <c r="C63" s="100" t="s">
        <v>970</v>
      </c>
      <c r="D63" s="100" t="s">
        <v>630</v>
      </c>
      <c r="E63" s="100"/>
    </row>
    <row r="64" spans="1:5" x14ac:dyDescent="0.35">
      <c r="A64" s="100" t="s">
        <v>777</v>
      </c>
      <c r="B64" s="100"/>
      <c r="C64" s="100" t="s">
        <v>969</v>
      </c>
      <c r="D64" s="100" t="s">
        <v>627</v>
      </c>
      <c r="E64" s="100"/>
    </row>
    <row r="65" spans="1:6" x14ac:dyDescent="0.35">
      <c r="A65" s="100" t="s">
        <v>777</v>
      </c>
      <c r="B65" s="100"/>
      <c r="C65" s="100" t="s">
        <v>628</v>
      </c>
      <c r="D65" s="100" t="s">
        <v>629</v>
      </c>
      <c r="E65" s="100"/>
    </row>
    <row r="66" spans="1:6" x14ac:dyDescent="0.35">
      <c r="A66" s="100" t="s">
        <v>777</v>
      </c>
      <c r="B66" s="100"/>
      <c r="C66" s="100" t="s">
        <v>634</v>
      </c>
      <c r="D66" s="100" t="s">
        <v>632</v>
      </c>
      <c r="E66" s="100"/>
      <c r="F66" s="192"/>
    </row>
    <row r="67" spans="1:6" x14ac:dyDescent="0.35">
      <c r="A67" s="100" t="s">
        <v>777</v>
      </c>
      <c r="B67" s="100"/>
      <c r="C67" s="100" t="s">
        <v>633</v>
      </c>
      <c r="D67" s="100" t="s">
        <v>632</v>
      </c>
      <c r="E67" s="100"/>
    </row>
    <row r="68" spans="1:6" x14ac:dyDescent="0.35">
      <c r="A68" s="100" t="s">
        <v>777</v>
      </c>
      <c r="B68" s="100"/>
      <c r="C68" s="100" t="s">
        <v>631</v>
      </c>
      <c r="D68" s="100" t="s">
        <v>632</v>
      </c>
      <c r="E68" s="100"/>
    </row>
    <row r="69" spans="1:6" x14ac:dyDescent="0.35">
      <c r="A69" s="100" t="s">
        <v>777</v>
      </c>
      <c r="B69" s="100" t="s">
        <v>677</v>
      </c>
      <c r="C69" s="100"/>
      <c r="D69" s="100" t="s">
        <v>678</v>
      </c>
      <c r="E69" s="100"/>
    </row>
    <row r="70" spans="1:6" x14ac:dyDescent="0.35">
      <c r="A70" s="100" t="s">
        <v>777</v>
      </c>
      <c r="B70" s="100"/>
      <c r="C70" s="100" t="s">
        <v>1006</v>
      </c>
      <c r="D70" s="100" t="s">
        <v>662</v>
      </c>
      <c r="E70" s="100"/>
    </row>
    <row r="71" spans="1:6" x14ac:dyDescent="0.35">
      <c r="A71" s="100" t="s">
        <v>777</v>
      </c>
      <c r="B71" s="100"/>
      <c r="C71" s="100" t="s">
        <v>1009</v>
      </c>
      <c r="D71" s="100" t="s">
        <v>663</v>
      </c>
      <c r="E71" s="100"/>
    </row>
    <row r="72" spans="1:6" x14ac:dyDescent="0.35">
      <c r="A72" s="100" t="s">
        <v>777</v>
      </c>
      <c r="B72" s="100"/>
      <c r="C72" s="100" t="s">
        <v>671</v>
      </c>
      <c r="D72" s="100" t="s">
        <v>672</v>
      </c>
      <c r="E72" s="100"/>
    </row>
    <row r="73" spans="1:6" x14ac:dyDescent="0.35">
      <c r="A73" s="100" t="s">
        <v>777</v>
      </c>
      <c r="B73" s="100"/>
      <c r="C73" s="100" t="s">
        <v>673</v>
      </c>
      <c r="D73" s="100" t="s">
        <v>674</v>
      </c>
      <c r="E73" s="100"/>
    </row>
    <row r="74" spans="1:6" x14ac:dyDescent="0.35">
      <c r="A74" s="100" t="s">
        <v>777</v>
      </c>
      <c r="B74" s="100"/>
      <c r="C74" s="100" t="s">
        <v>1012</v>
      </c>
      <c r="D74" s="100" t="s">
        <v>668</v>
      </c>
      <c r="E74" s="100"/>
    </row>
    <row r="75" spans="1:6" x14ac:dyDescent="0.35">
      <c r="A75" s="100" t="s">
        <v>777</v>
      </c>
      <c r="B75" s="100"/>
      <c r="C75" s="100" t="s">
        <v>669</v>
      </c>
      <c r="D75" s="100" t="s">
        <v>670</v>
      </c>
      <c r="E75" s="100"/>
    </row>
    <row r="76" spans="1:6" x14ac:dyDescent="0.35">
      <c r="A76" s="100" t="s">
        <v>777</v>
      </c>
      <c r="B76" s="100"/>
      <c r="C76" s="100" t="s">
        <v>675</v>
      </c>
      <c r="D76" s="100" t="s">
        <v>676</v>
      </c>
      <c r="E76" s="100"/>
    </row>
    <row r="77" spans="1:6" x14ac:dyDescent="0.35">
      <c r="A77" s="100" t="s">
        <v>777</v>
      </c>
      <c r="B77" s="100"/>
      <c r="C77" s="100" t="s">
        <v>666</v>
      </c>
      <c r="D77" s="100" t="s">
        <v>667</v>
      </c>
      <c r="E77" s="100"/>
    </row>
    <row r="78" spans="1:6" x14ac:dyDescent="0.35">
      <c r="A78" s="100" t="s">
        <v>777</v>
      </c>
      <c r="B78" s="100"/>
      <c r="C78" s="100" t="s">
        <v>664</v>
      </c>
      <c r="D78" s="100" t="s">
        <v>665</v>
      </c>
      <c r="E78" s="100"/>
    </row>
    <row r="79" spans="1:6" x14ac:dyDescent="0.35">
      <c r="A79" s="100" t="s">
        <v>1498</v>
      </c>
      <c r="B79" s="100"/>
      <c r="C79" s="100" t="s">
        <v>644</v>
      </c>
      <c r="D79" s="100" t="s">
        <v>645</v>
      </c>
      <c r="E79" s="100"/>
    </row>
    <row r="80" spans="1:6" x14ac:dyDescent="0.35">
      <c r="A80" s="100" t="s">
        <v>777</v>
      </c>
      <c r="B80" s="100"/>
      <c r="C80" t="s">
        <v>1744</v>
      </c>
      <c r="D80" s="100" t="s">
        <v>1743</v>
      </c>
      <c r="E80" s="100"/>
    </row>
    <row r="81" spans="1:5" x14ac:dyDescent="0.35">
      <c r="A81" s="100" t="s">
        <v>777</v>
      </c>
      <c r="B81" s="100"/>
      <c r="C81" t="s">
        <v>1745</v>
      </c>
      <c r="D81" s="100" t="s">
        <v>1743</v>
      </c>
      <c r="E81" s="100"/>
    </row>
    <row r="82" spans="1:5" x14ac:dyDescent="0.35">
      <c r="A82" s="204" t="s">
        <v>1498</v>
      </c>
      <c r="B82" s="204"/>
      <c r="C82" s="204" t="s">
        <v>1779</v>
      </c>
      <c r="D82" s="204" t="s">
        <v>1780</v>
      </c>
      <c r="E82" s="100"/>
    </row>
    <row r="83" spans="1:5" x14ac:dyDescent="0.35">
      <c r="A83" s="204" t="s">
        <v>1498</v>
      </c>
      <c r="B83" s="204"/>
      <c r="C83" s="204" t="s">
        <v>1781</v>
      </c>
      <c r="D83" s="204" t="s">
        <v>1782</v>
      </c>
      <c r="E83" s="100"/>
    </row>
    <row r="84" spans="1:5" x14ac:dyDescent="0.35">
      <c r="A84" s="204" t="s">
        <v>1498</v>
      </c>
      <c r="B84" s="204"/>
      <c r="C84" s="204" t="s">
        <v>1783</v>
      </c>
      <c r="D84" s="204" t="s">
        <v>1784</v>
      </c>
      <c r="E84" s="100"/>
    </row>
    <row r="85" spans="1:5" x14ac:dyDescent="0.35">
      <c r="A85" s="204" t="s">
        <v>1498</v>
      </c>
      <c r="B85" s="204"/>
      <c r="C85" s="204" t="s">
        <v>1901</v>
      </c>
      <c r="D85" s="204" t="s">
        <v>1902</v>
      </c>
      <c r="E85" s="100"/>
    </row>
    <row r="86" spans="1:5" x14ac:dyDescent="0.35">
      <c r="A86" s="204" t="s">
        <v>1498</v>
      </c>
      <c r="B86" s="204"/>
      <c r="C86" s="204" t="s">
        <v>1911</v>
      </c>
      <c r="D86" s="204" t="s">
        <v>1910</v>
      </c>
      <c r="E86" s="100"/>
    </row>
    <row r="87" spans="1:5" x14ac:dyDescent="0.35">
      <c r="A87" s="204" t="s">
        <v>777</v>
      </c>
      <c r="B87" s="204"/>
      <c r="C87" s="204" t="s">
        <v>1914</v>
      </c>
      <c r="D87" s="204" t="s">
        <v>1856</v>
      </c>
      <c r="E87" s="100"/>
    </row>
    <row r="88" spans="1:5" s="204" customFormat="1" x14ac:dyDescent="0.35">
      <c r="A88" s="204" t="s">
        <v>777</v>
      </c>
      <c r="C88" s="204" t="s">
        <v>1904</v>
      </c>
      <c r="D88" s="204" t="s">
        <v>1833</v>
      </c>
    </row>
    <row r="89" spans="1:5" s="204" customFormat="1" x14ac:dyDescent="0.35">
      <c r="A89" s="204" t="s">
        <v>777</v>
      </c>
      <c r="C89" s="204" t="s">
        <v>1852</v>
      </c>
      <c r="D89" s="204" t="s">
        <v>1853</v>
      </c>
    </row>
    <row r="90" spans="1:5" x14ac:dyDescent="0.35">
      <c r="A90" s="204" t="s">
        <v>1498</v>
      </c>
      <c r="B90" s="204"/>
      <c r="C90" s="204" t="s">
        <v>1921</v>
      </c>
      <c r="D90" s="204" t="s">
        <v>1865</v>
      </c>
      <c r="E90" s="204"/>
    </row>
    <row r="91" spans="1:5" s="204" customFormat="1" x14ac:dyDescent="0.35">
      <c r="A91" s="204" t="s">
        <v>1498</v>
      </c>
      <c r="C91" s="204" t="s">
        <v>1922</v>
      </c>
      <c r="D91" s="204" t="s">
        <v>1864</v>
      </c>
    </row>
    <row r="92" spans="1:5" s="204" customFormat="1" x14ac:dyDescent="0.35">
      <c r="A92" s="204" t="s">
        <v>1498</v>
      </c>
      <c r="C92" s="204" t="s">
        <v>1923</v>
      </c>
      <c r="D92" s="204" t="s">
        <v>1866</v>
      </c>
    </row>
    <row r="93" spans="1:5" s="204" customFormat="1" x14ac:dyDescent="0.35">
      <c r="A93" s="204" t="s">
        <v>1498</v>
      </c>
      <c r="C93" s="204" t="s">
        <v>1924</v>
      </c>
      <c r="D93" s="204" t="s">
        <v>1869</v>
      </c>
    </row>
    <row r="94" spans="1:5" s="204" customFormat="1" x14ac:dyDescent="0.35">
      <c r="A94" s="204" t="s">
        <v>777</v>
      </c>
      <c r="C94" s="204" t="s">
        <v>1925</v>
      </c>
      <c r="D94" s="204" t="s">
        <v>1870</v>
      </c>
    </row>
    <row r="95" spans="1:5" s="204" customFormat="1" x14ac:dyDescent="0.35">
      <c r="A95" s="204" t="s">
        <v>777</v>
      </c>
      <c r="C95" s="204" t="s">
        <v>1915</v>
      </c>
      <c r="D95" s="204" t="s">
        <v>1871</v>
      </c>
    </row>
    <row r="96" spans="1:5" s="204" customFormat="1" x14ac:dyDescent="0.35">
      <c r="A96" s="204" t="s">
        <v>777</v>
      </c>
      <c r="C96" s="204" t="s">
        <v>1881</v>
      </c>
      <c r="D96" s="204" t="s">
        <v>1882</v>
      </c>
    </row>
    <row r="97" spans="1:4" s="204" customFormat="1" x14ac:dyDescent="0.35">
      <c r="A97" s="204" t="s">
        <v>777</v>
      </c>
      <c r="C97" s="204" t="s">
        <v>1884</v>
      </c>
      <c r="D97" s="204" t="s">
        <v>1882</v>
      </c>
    </row>
  </sheetData>
  <phoneticPr fontId="3" type="noConversion"/>
  <pageMargins left="0.7" right="0.7" top="0.75" bottom="0.75" header="0.3" footer="0.3"/>
  <pageSetup paperSize="9" fitToWidth="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8F4B-3731-4B57-8E39-0C1B3F0432A2}">
  <sheetPr>
    <tabColor theme="7"/>
  </sheetPr>
  <dimension ref="A1:G30"/>
  <sheetViews>
    <sheetView workbookViewId="0"/>
  </sheetViews>
  <sheetFormatPr defaultColWidth="8.81640625" defaultRowHeight="14.5" x14ac:dyDescent="0.35"/>
  <cols>
    <col min="1" max="1" width="12.1796875" style="28" customWidth="1"/>
    <col min="2" max="2" width="61.1796875" bestFit="1" customWidth="1"/>
    <col min="3" max="3" width="23.453125" style="28" bestFit="1" customWidth="1"/>
    <col min="4" max="4" width="15.453125" bestFit="1" customWidth="1"/>
    <col min="5" max="5" width="13.81640625" bestFit="1" customWidth="1"/>
    <col min="6" max="6" width="43" customWidth="1"/>
    <col min="7" max="7" width="13.453125" style="28" customWidth="1"/>
  </cols>
  <sheetData>
    <row r="1" spans="1:7" x14ac:dyDescent="0.35">
      <c r="A1" t="s">
        <v>679</v>
      </c>
      <c r="B1" t="s">
        <v>748</v>
      </c>
      <c r="C1" s="28" t="s">
        <v>749</v>
      </c>
      <c r="D1" t="s">
        <v>750</v>
      </c>
      <c r="E1" s="28" t="s">
        <v>751</v>
      </c>
      <c r="F1" s="28" t="s">
        <v>1420</v>
      </c>
      <c r="G1" t="s">
        <v>121</v>
      </c>
    </row>
    <row r="2" spans="1:7" x14ac:dyDescent="0.35">
      <c r="B2" t="s">
        <v>1185</v>
      </c>
      <c r="C2" s="28" t="s">
        <v>696</v>
      </c>
      <c r="D2" t="s">
        <v>692</v>
      </c>
      <c r="E2" s="28" t="s">
        <v>1793</v>
      </c>
      <c r="F2" s="28" t="s">
        <v>1185</v>
      </c>
    </row>
    <row r="3" spans="1:7" x14ac:dyDescent="0.35">
      <c r="B3" t="s">
        <v>1230</v>
      </c>
      <c r="C3" s="28" t="s">
        <v>696</v>
      </c>
      <c r="D3" t="s">
        <v>692</v>
      </c>
      <c r="E3" s="28" t="s">
        <v>1793</v>
      </c>
      <c r="F3" s="28" t="s">
        <v>1421</v>
      </c>
    </row>
    <row r="4" spans="1:7" x14ac:dyDescent="0.35">
      <c r="B4" t="s">
        <v>1186</v>
      </c>
      <c r="C4" s="28" t="s">
        <v>696</v>
      </c>
      <c r="D4" t="s">
        <v>692</v>
      </c>
      <c r="E4" s="28" t="s">
        <v>1793</v>
      </c>
      <c r="F4" s="28" t="s">
        <v>1421</v>
      </c>
    </row>
    <row r="5" spans="1:7" x14ac:dyDescent="0.35">
      <c r="B5" t="s">
        <v>1231</v>
      </c>
      <c r="C5" s="28" t="s">
        <v>701</v>
      </c>
      <c r="D5" t="s">
        <v>692</v>
      </c>
      <c r="E5" s="28" t="s">
        <v>1793</v>
      </c>
      <c r="F5" s="28" t="s">
        <v>1422</v>
      </c>
    </row>
    <row r="6" spans="1:7" x14ac:dyDescent="0.35">
      <c r="B6" t="s">
        <v>1232</v>
      </c>
      <c r="C6" s="28" t="s">
        <v>701</v>
      </c>
      <c r="D6" t="s">
        <v>692</v>
      </c>
      <c r="E6" s="28" t="s">
        <v>1793</v>
      </c>
      <c r="F6" s="28" t="s">
        <v>1422</v>
      </c>
    </row>
    <row r="7" spans="1:7" x14ac:dyDescent="0.35">
      <c r="B7" t="s">
        <v>1233</v>
      </c>
      <c r="C7" s="28" t="s">
        <v>696</v>
      </c>
      <c r="D7" t="s">
        <v>692</v>
      </c>
      <c r="E7" s="28" t="s">
        <v>1793</v>
      </c>
      <c r="F7" s="28" t="s">
        <v>1421</v>
      </c>
    </row>
    <row r="8" spans="1:7" x14ac:dyDescent="0.35">
      <c r="B8" t="s">
        <v>1234</v>
      </c>
      <c r="C8" s="28" t="s">
        <v>696</v>
      </c>
      <c r="D8" t="s">
        <v>692</v>
      </c>
      <c r="E8" s="28" t="s">
        <v>1793</v>
      </c>
      <c r="F8" s="28" t="s">
        <v>1234</v>
      </c>
    </row>
    <row r="9" spans="1:7" x14ac:dyDescent="0.35">
      <c r="B9" s="28" t="s">
        <v>1423</v>
      </c>
      <c r="C9" s="28" t="s">
        <v>696</v>
      </c>
      <c r="D9" t="s">
        <v>692</v>
      </c>
      <c r="E9" s="28" t="s">
        <v>1793</v>
      </c>
      <c r="F9" s="28" t="s">
        <v>1423</v>
      </c>
    </row>
    <row r="10" spans="1:7" x14ac:dyDescent="0.35">
      <c r="B10" t="s">
        <v>1235</v>
      </c>
      <c r="C10" s="28" t="s">
        <v>701</v>
      </c>
      <c r="D10" t="s">
        <v>692</v>
      </c>
      <c r="E10" s="28" t="s">
        <v>1793</v>
      </c>
      <c r="F10" s="28" t="s">
        <v>1424</v>
      </c>
    </row>
    <row r="11" spans="1:7" x14ac:dyDescent="0.35">
      <c r="B11" t="s">
        <v>1236</v>
      </c>
      <c r="C11" s="28" t="s">
        <v>701</v>
      </c>
      <c r="D11" t="s">
        <v>692</v>
      </c>
      <c r="E11" s="28" t="s">
        <v>1793</v>
      </c>
      <c r="F11" s="28" t="s">
        <v>1424</v>
      </c>
    </row>
    <row r="12" spans="1:7" x14ac:dyDescent="0.35">
      <c r="B12" t="s">
        <v>1237</v>
      </c>
      <c r="C12" s="28" t="s">
        <v>701</v>
      </c>
      <c r="D12" t="s">
        <v>692</v>
      </c>
      <c r="E12" s="28" t="s">
        <v>1793</v>
      </c>
      <c r="F12" s="28" t="s">
        <v>1424</v>
      </c>
    </row>
    <row r="13" spans="1:7" x14ac:dyDescent="0.35">
      <c r="B13" t="s">
        <v>1238</v>
      </c>
      <c r="C13" s="28" t="s">
        <v>701</v>
      </c>
      <c r="D13" t="s">
        <v>692</v>
      </c>
      <c r="E13" s="28" t="s">
        <v>193</v>
      </c>
      <c r="F13" s="28" t="s">
        <v>1425</v>
      </c>
    </row>
    <row r="14" spans="1:7" x14ac:dyDescent="0.35">
      <c r="B14" t="s">
        <v>1239</v>
      </c>
      <c r="C14" s="28" t="s">
        <v>701</v>
      </c>
      <c r="D14" t="s">
        <v>692</v>
      </c>
      <c r="E14" s="28" t="s">
        <v>193</v>
      </c>
      <c r="F14" s="28" t="s">
        <v>1425</v>
      </c>
    </row>
    <row r="15" spans="1:7" x14ac:dyDescent="0.35">
      <c r="B15" t="s">
        <v>1240</v>
      </c>
      <c r="C15" s="28" t="s">
        <v>696</v>
      </c>
      <c r="D15" t="s">
        <v>692</v>
      </c>
      <c r="E15" s="28" t="s">
        <v>193</v>
      </c>
      <c r="F15" s="28" t="s">
        <v>1240</v>
      </c>
    </row>
    <row r="16" spans="1:7" x14ac:dyDescent="0.35">
      <c r="B16" t="s">
        <v>1241</v>
      </c>
      <c r="C16" s="28" t="s">
        <v>696</v>
      </c>
      <c r="D16" t="s">
        <v>692</v>
      </c>
      <c r="E16" s="28" t="s">
        <v>1793</v>
      </c>
      <c r="F16" s="28" t="s">
        <v>1241</v>
      </c>
    </row>
    <row r="17" spans="2:6" x14ac:dyDescent="0.35">
      <c r="B17" t="s">
        <v>1680</v>
      </c>
      <c r="C17" s="28" t="s">
        <v>696</v>
      </c>
      <c r="D17" t="s">
        <v>692</v>
      </c>
      <c r="E17" s="28" t="s">
        <v>1793</v>
      </c>
      <c r="F17" s="28" t="s">
        <v>1242</v>
      </c>
    </row>
    <row r="18" spans="2:6" x14ac:dyDescent="0.35">
      <c r="B18" t="s">
        <v>1641</v>
      </c>
      <c r="C18" s="28" t="s">
        <v>696</v>
      </c>
      <c r="D18" t="s">
        <v>692</v>
      </c>
      <c r="E18" s="28" t="s">
        <v>1793</v>
      </c>
      <c r="F18" s="28" t="s">
        <v>1242</v>
      </c>
    </row>
    <row r="19" spans="2:6" x14ac:dyDescent="0.35">
      <c r="B19" t="s">
        <v>1243</v>
      </c>
      <c r="C19" s="28" t="s">
        <v>701</v>
      </c>
      <c r="D19" t="s">
        <v>692</v>
      </c>
      <c r="E19" s="28" t="s">
        <v>194</v>
      </c>
      <c r="F19" s="28" t="s">
        <v>1426</v>
      </c>
    </row>
    <row r="20" spans="2:6" x14ac:dyDescent="0.35">
      <c r="B20" t="s">
        <v>1244</v>
      </c>
      <c r="C20" s="28" t="s">
        <v>701</v>
      </c>
      <c r="D20" t="s">
        <v>692</v>
      </c>
      <c r="E20" s="28" t="s">
        <v>194</v>
      </c>
      <c r="F20" s="28" t="s">
        <v>1426</v>
      </c>
    </row>
    <row r="21" spans="2:6" x14ac:dyDescent="0.35">
      <c r="B21" t="s">
        <v>1245</v>
      </c>
      <c r="C21" s="28" t="s">
        <v>696</v>
      </c>
      <c r="D21" t="s">
        <v>692</v>
      </c>
      <c r="E21" s="28" t="s">
        <v>194</v>
      </c>
      <c r="F21" s="28" t="s">
        <v>1426</v>
      </c>
    </row>
    <row r="22" spans="2:6" x14ac:dyDescent="0.35">
      <c r="B22" t="s">
        <v>1246</v>
      </c>
      <c r="C22" s="28" t="s">
        <v>701</v>
      </c>
      <c r="D22" t="s">
        <v>692</v>
      </c>
      <c r="E22" s="28" t="s">
        <v>1793</v>
      </c>
      <c r="F22" s="28" t="s">
        <v>1427</v>
      </c>
    </row>
    <row r="23" spans="2:6" x14ac:dyDescent="0.35">
      <c r="B23" t="s">
        <v>1247</v>
      </c>
      <c r="C23" s="28" t="s">
        <v>701</v>
      </c>
      <c r="D23" t="s">
        <v>692</v>
      </c>
      <c r="E23" s="28" t="s">
        <v>1793</v>
      </c>
      <c r="F23" s="28" t="s">
        <v>1427</v>
      </c>
    </row>
    <row r="24" spans="2:6" x14ac:dyDescent="0.35">
      <c r="B24" t="s">
        <v>1248</v>
      </c>
      <c r="C24" s="28" t="s">
        <v>701</v>
      </c>
      <c r="D24" t="s">
        <v>692</v>
      </c>
      <c r="E24" s="28" t="s">
        <v>1793</v>
      </c>
      <c r="F24" s="28" t="s">
        <v>1427</v>
      </c>
    </row>
    <row r="25" spans="2:6" x14ac:dyDescent="0.35">
      <c r="B25" t="s">
        <v>1249</v>
      </c>
      <c r="C25" s="28" t="s">
        <v>701</v>
      </c>
      <c r="D25" t="s">
        <v>692</v>
      </c>
      <c r="E25" s="28" t="s">
        <v>1793</v>
      </c>
      <c r="F25" s="28" t="s">
        <v>1427</v>
      </c>
    </row>
    <row r="26" spans="2:6" x14ac:dyDescent="0.35">
      <c r="B26" t="s">
        <v>1250</v>
      </c>
      <c r="C26" s="28" t="s">
        <v>696</v>
      </c>
      <c r="D26" t="s">
        <v>692</v>
      </c>
      <c r="E26" s="28" t="s">
        <v>1793</v>
      </c>
      <c r="F26" s="28" t="s">
        <v>1428</v>
      </c>
    </row>
    <row r="27" spans="2:6" x14ac:dyDescent="0.35">
      <c r="B27" t="s">
        <v>1251</v>
      </c>
      <c r="C27" s="28" t="s">
        <v>696</v>
      </c>
      <c r="D27" t="s">
        <v>692</v>
      </c>
      <c r="E27" s="28" t="s">
        <v>1793</v>
      </c>
      <c r="F27" s="28" t="s">
        <v>1428</v>
      </c>
    </row>
    <row r="28" spans="2:6" x14ac:dyDescent="0.35">
      <c r="B28" t="s">
        <v>729</v>
      </c>
      <c r="C28" s="28" t="s">
        <v>696</v>
      </c>
      <c r="D28" t="s">
        <v>189</v>
      </c>
      <c r="E28" s="28" t="s">
        <v>1793</v>
      </c>
      <c r="F28" s="28" t="s">
        <v>729</v>
      </c>
    </row>
    <row r="29" spans="2:6" x14ac:dyDescent="0.35">
      <c r="B29" s="29" t="s">
        <v>1252</v>
      </c>
      <c r="C29" s="28" t="s">
        <v>696</v>
      </c>
      <c r="D29" t="s">
        <v>692</v>
      </c>
      <c r="E29" s="28" t="s">
        <v>1793</v>
      </c>
      <c r="F29" s="28" t="s">
        <v>1252</v>
      </c>
    </row>
    <row r="30" spans="2:6" x14ac:dyDescent="0.35">
      <c r="B30" s="29" t="s">
        <v>1253</v>
      </c>
      <c r="C30" s="28" t="s">
        <v>696</v>
      </c>
      <c r="D30" t="s">
        <v>692</v>
      </c>
      <c r="E30" s="28" t="s">
        <v>1793</v>
      </c>
      <c r="F30" s="28" t="s">
        <v>1253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4A6D-37B1-4279-9E25-6C0C660B5C1D}">
  <sheetPr>
    <tabColor theme="7"/>
  </sheetPr>
  <dimension ref="A1:T116"/>
  <sheetViews>
    <sheetView workbookViewId="0"/>
  </sheetViews>
  <sheetFormatPr defaultColWidth="8.81640625" defaultRowHeight="14.5" x14ac:dyDescent="0.35"/>
  <cols>
    <col min="1" max="1" width="14.453125" style="35" bestFit="1" customWidth="1"/>
    <col min="2" max="2" width="78.453125" style="29" customWidth="1"/>
    <col min="3" max="3" width="27.453125" style="35" customWidth="1"/>
    <col min="4" max="4" width="28.453125" style="29" bestFit="1" customWidth="1"/>
    <col min="5" max="5" width="29.453125" bestFit="1" customWidth="1"/>
    <col min="6" max="6" width="21.1796875" style="29" bestFit="1" customWidth="1"/>
    <col min="7" max="7" width="24" bestFit="1" customWidth="1"/>
    <col min="8" max="8" width="21.1796875" bestFit="1" customWidth="1"/>
    <col min="9" max="9" width="21.453125" style="29" bestFit="1" customWidth="1"/>
    <col min="10" max="10" width="30.453125" bestFit="1" customWidth="1"/>
    <col min="11" max="11" width="29.81640625" bestFit="1" customWidth="1"/>
    <col min="12" max="16" width="29.81640625" customWidth="1"/>
    <col min="17" max="17" width="22.453125" bestFit="1" customWidth="1"/>
    <col min="18" max="19" width="41.1796875" customWidth="1"/>
    <col min="20" max="20" width="87.453125" bestFit="1" customWidth="1"/>
  </cols>
  <sheetData>
    <row r="1" spans="1:20" x14ac:dyDescent="0.35">
      <c r="A1" s="29" t="s">
        <v>679</v>
      </c>
      <c r="B1" s="29" t="s">
        <v>680</v>
      </c>
      <c r="C1" s="35" t="s">
        <v>681</v>
      </c>
      <c r="D1" s="29" t="s">
        <v>682</v>
      </c>
      <c r="E1" s="35" t="s">
        <v>683</v>
      </c>
      <c r="F1" s="29" t="s">
        <v>684</v>
      </c>
      <c r="G1" s="29" t="s">
        <v>685</v>
      </c>
      <c r="H1" s="35" t="s">
        <v>686</v>
      </c>
      <c r="I1" s="29" t="s">
        <v>687</v>
      </c>
      <c r="J1" s="35" t="s">
        <v>688</v>
      </c>
      <c r="K1" s="35" t="s">
        <v>689</v>
      </c>
      <c r="L1" s="35" t="s">
        <v>1190</v>
      </c>
      <c r="M1" s="35" t="s">
        <v>1568</v>
      </c>
      <c r="N1" s="35" t="s">
        <v>1603</v>
      </c>
      <c r="O1" s="35" t="s">
        <v>1419</v>
      </c>
      <c r="P1" s="35" t="s">
        <v>1418</v>
      </c>
      <c r="Q1" s="35" t="s">
        <v>1499</v>
      </c>
      <c r="R1" s="35" t="s">
        <v>1751</v>
      </c>
      <c r="S1" s="35" t="s">
        <v>1836</v>
      </c>
      <c r="T1" s="35" t="s">
        <v>121</v>
      </c>
    </row>
    <row r="2" spans="1:20" x14ac:dyDescent="0.35">
      <c r="A2" s="35" t="s">
        <v>739</v>
      </c>
      <c r="B2" s="29" t="s">
        <v>1331</v>
      </c>
      <c r="C2" s="35" t="s">
        <v>185</v>
      </c>
      <c r="D2" s="35" t="s">
        <v>691</v>
      </c>
      <c r="E2" s="35"/>
      <c r="F2" s="29" t="s">
        <v>692</v>
      </c>
      <c r="G2" s="29"/>
      <c r="H2" s="35"/>
      <c r="I2" s="29" t="s">
        <v>693</v>
      </c>
      <c r="J2" s="35"/>
      <c r="K2" s="35"/>
      <c r="L2" s="36"/>
      <c r="M2" s="35"/>
      <c r="N2" s="35"/>
      <c r="O2" s="35" t="s">
        <v>1429</v>
      </c>
      <c r="P2" s="35" t="s">
        <v>1430</v>
      </c>
      <c r="Q2" s="35"/>
      <c r="R2" s="35" t="s">
        <v>1753</v>
      </c>
      <c r="S2" s="35"/>
      <c r="T2" s="35"/>
    </row>
    <row r="3" spans="1:20" x14ac:dyDescent="0.35">
      <c r="A3" s="35" t="s">
        <v>743</v>
      </c>
      <c r="B3" s="29" t="s">
        <v>1344</v>
      </c>
      <c r="C3" s="35" t="s">
        <v>185</v>
      </c>
      <c r="D3" s="35" t="s">
        <v>691</v>
      </c>
      <c r="E3" s="35"/>
      <c r="F3" s="29" t="s">
        <v>692</v>
      </c>
      <c r="G3" s="29"/>
      <c r="H3" s="35"/>
      <c r="I3" s="29" t="s">
        <v>693</v>
      </c>
      <c r="J3" s="35"/>
      <c r="K3" s="35"/>
      <c r="L3" s="36"/>
      <c r="M3" s="35"/>
      <c r="N3" s="35"/>
      <c r="O3" s="35" t="s">
        <v>1431</v>
      </c>
      <c r="P3" s="35" t="s">
        <v>1432</v>
      </c>
      <c r="Q3" s="35"/>
      <c r="R3" s="35" t="s">
        <v>1752</v>
      </c>
      <c r="S3" s="35"/>
      <c r="T3" s="35"/>
    </row>
    <row r="4" spans="1:20" x14ac:dyDescent="0.35">
      <c r="B4" s="29" t="s">
        <v>1330</v>
      </c>
      <c r="C4" s="191" t="s">
        <v>691</v>
      </c>
      <c r="D4" s="35" t="s">
        <v>185</v>
      </c>
      <c r="E4" s="35" t="s">
        <v>696</v>
      </c>
      <c r="F4" s="35" t="s">
        <v>692</v>
      </c>
      <c r="G4" s="29" t="s">
        <v>1142</v>
      </c>
      <c r="H4" s="35" t="s">
        <v>200</v>
      </c>
      <c r="I4" s="35"/>
      <c r="J4" s="35" t="s">
        <v>725</v>
      </c>
      <c r="K4" s="35" t="s">
        <v>725</v>
      </c>
      <c r="L4" s="36"/>
      <c r="M4" s="35"/>
      <c r="N4" s="35"/>
      <c r="O4" s="35" t="s">
        <v>1330</v>
      </c>
      <c r="P4" s="35" t="s">
        <v>1433</v>
      </c>
      <c r="Q4" s="35"/>
      <c r="R4" t="s">
        <v>1253</v>
      </c>
      <c r="T4" s="35"/>
    </row>
    <row r="5" spans="1:20" x14ac:dyDescent="0.35">
      <c r="B5" s="29" t="s">
        <v>1264</v>
      </c>
      <c r="C5" s="35" t="s">
        <v>691</v>
      </c>
      <c r="D5" s="35"/>
      <c r="E5" s="35" t="s">
        <v>701</v>
      </c>
      <c r="F5" s="29" t="s">
        <v>692</v>
      </c>
      <c r="G5" s="29" t="s">
        <v>194</v>
      </c>
      <c r="H5" s="35"/>
      <c r="J5" s="35" t="s">
        <v>697</v>
      </c>
      <c r="K5" s="35"/>
      <c r="L5" s="36"/>
      <c r="M5" s="35"/>
      <c r="N5" s="35"/>
      <c r="O5" s="35" t="s">
        <v>1434</v>
      </c>
      <c r="P5" s="35" t="s">
        <v>1433</v>
      </c>
      <c r="Q5" s="35"/>
      <c r="R5" t="s">
        <v>1243</v>
      </c>
      <c r="T5" s="35"/>
    </row>
    <row r="6" spans="1:20" x14ac:dyDescent="0.35">
      <c r="B6" s="29" t="s">
        <v>1265</v>
      </c>
      <c r="C6" s="35" t="s">
        <v>691</v>
      </c>
      <c r="D6" s="35"/>
      <c r="E6" s="35" t="s">
        <v>701</v>
      </c>
      <c r="F6" s="29" t="s">
        <v>692</v>
      </c>
      <c r="G6" s="29" t="s">
        <v>194</v>
      </c>
      <c r="H6" s="35"/>
      <c r="J6" s="35" t="s">
        <v>697</v>
      </c>
      <c r="K6" s="35"/>
      <c r="L6" s="36"/>
      <c r="M6" s="35"/>
      <c r="N6" s="35"/>
      <c r="O6" s="35" t="s">
        <v>1434</v>
      </c>
      <c r="P6" s="35" t="s">
        <v>1433</v>
      </c>
      <c r="Q6" s="35"/>
      <c r="R6" t="s">
        <v>1243</v>
      </c>
      <c r="T6" s="35"/>
    </row>
    <row r="7" spans="1:20" x14ac:dyDescent="0.35">
      <c r="B7" s="29" t="s">
        <v>1266</v>
      </c>
      <c r="C7" s="35" t="s">
        <v>691</v>
      </c>
      <c r="D7" s="35"/>
      <c r="E7" s="35" t="s">
        <v>701</v>
      </c>
      <c r="F7" s="29" t="s">
        <v>692</v>
      </c>
      <c r="G7" s="29" t="s">
        <v>194</v>
      </c>
      <c r="H7" s="35"/>
      <c r="J7" s="35" t="s">
        <v>697</v>
      </c>
      <c r="K7" s="35"/>
      <c r="L7" s="36"/>
      <c r="M7" s="35"/>
      <c r="N7" s="35"/>
      <c r="O7" s="35" t="s">
        <v>1434</v>
      </c>
      <c r="P7" s="35" t="s">
        <v>1433</v>
      </c>
      <c r="Q7" s="35"/>
      <c r="R7" t="s">
        <v>1243</v>
      </c>
      <c r="T7" s="35"/>
    </row>
    <row r="8" spans="1:20" x14ac:dyDescent="0.35">
      <c r="B8" s="29" t="s">
        <v>1268</v>
      </c>
      <c r="C8" s="35" t="s">
        <v>691</v>
      </c>
      <c r="D8" s="35"/>
      <c r="E8" s="35" t="s">
        <v>701</v>
      </c>
      <c r="F8" s="29" t="s">
        <v>692</v>
      </c>
      <c r="G8" s="29" t="s">
        <v>194</v>
      </c>
      <c r="H8" s="35"/>
      <c r="J8" s="35" t="s">
        <v>697</v>
      </c>
      <c r="K8" s="35"/>
      <c r="L8" s="36"/>
      <c r="M8" s="35"/>
      <c r="N8" s="35"/>
      <c r="O8" s="35" t="s">
        <v>1435</v>
      </c>
      <c r="P8" s="35" t="s">
        <v>1433</v>
      </c>
      <c r="Q8" s="35"/>
      <c r="R8" t="s">
        <v>1244</v>
      </c>
      <c r="T8" s="35"/>
    </row>
    <row r="9" spans="1:20" x14ac:dyDescent="0.35">
      <c r="B9" s="29" t="s">
        <v>1267</v>
      </c>
      <c r="C9" s="35" t="s">
        <v>691</v>
      </c>
      <c r="D9" s="35"/>
      <c r="E9" s="35" t="s">
        <v>701</v>
      </c>
      <c r="F9" s="29" t="s">
        <v>692</v>
      </c>
      <c r="G9" s="29" t="s">
        <v>194</v>
      </c>
      <c r="H9" s="35"/>
      <c r="J9" s="35" t="s">
        <v>697</v>
      </c>
      <c r="K9" s="35"/>
      <c r="L9" s="36"/>
      <c r="M9" s="35"/>
      <c r="N9" s="35"/>
      <c r="O9" s="35" t="s">
        <v>1435</v>
      </c>
      <c r="P9" s="35" t="s">
        <v>1433</v>
      </c>
      <c r="Q9" s="35"/>
      <c r="R9" t="s">
        <v>1244</v>
      </c>
      <c r="T9" s="35"/>
    </row>
    <row r="10" spans="1:20" x14ac:dyDescent="0.35">
      <c r="B10" s="29" t="s">
        <v>1271</v>
      </c>
      <c r="C10" s="35" t="s">
        <v>691</v>
      </c>
      <c r="D10" s="35"/>
      <c r="E10" s="35" t="s">
        <v>696</v>
      </c>
      <c r="F10" s="29" t="s">
        <v>692</v>
      </c>
      <c r="G10" s="29" t="s">
        <v>194</v>
      </c>
      <c r="H10" s="35"/>
      <c r="J10" s="35" t="s">
        <v>697</v>
      </c>
      <c r="K10" s="35"/>
      <c r="L10" s="36"/>
      <c r="M10" s="35"/>
      <c r="N10" s="35"/>
      <c r="O10" s="35" t="s">
        <v>1436</v>
      </c>
      <c r="P10" s="35" t="s">
        <v>1433</v>
      </c>
      <c r="Q10" s="35"/>
      <c r="R10" t="s">
        <v>1245</v>
      </c>
      <c r="T10" s="35"/>
    </row>
    <row r="11" spans="1:20" x14ac:dyDescent="0.35">
      <c r="B11" s="29" t="s">
        <v>1270</v>
      </c>
      <c r="C11" s="35" t="s">
        <v>691</v>
      </c>
      <c r="D11" s="35"/>
      <c r="E11" s="35" t="s">
        <v>696</v>
      </c>
      <c r="F11" s="29" t="s">
        <v>692</v>
      </c>
      <c r="G11" s="29" t="s">
        <v>194</v>
      </c>
      <c r="H11" s="35"/>
      <c r="J11" s="35" t="s">
        <v>697</v>
      </c>
      <c r="K11" s="35"/>
      <c r="L11" s="36"/>
      <c r="M11" s="35"/>
      <c r="N11" s="35"/>
      <c r="O11" s="35" t="s">
        <v>1436</v>
      </c>
      <c r="P11" s="35" t="s">
        <v>1433</v>
      </c>
      <c r="Q11" s="35"/>
      <c r="R11" t="s">
        <v>1245</v>
      </c>
      <c r="T11" s="35"/>
    </row>
    <row r="12" spans="1:20" x14ac:dyDescent="0.35">
      <c r="B12" s="29" t="s">
        <v>1269</v>
      </c>
      <c r="C12" s="35" t="s">
        <v>691</v>
      </c>
      <c r="D12" s="35"/>
      <c r="E12" s="35" t="s">
        <v>696</v>
      </c>
      <c r="F12" s="29" t="s">
        <v>692</v>
      </c>
      <c r="G12" s="29" t="s">
        <v>194</v>
      </c>
      <c r="H12" s="35"/>
      <c r="J12" s="35" t="s">
        <v>697</v>
      </c>
      <c r="K12" s="35"/>
      <c r="L12" s="36"/>
      <c r="M12" s="35"/>
      <c r="N12" s="35"/>
      <c r="O12" s="35" t="s">
        <v>1436</v>
      </c>
      <c r="P12" s="35" t="s">
        <v>1433</v>
      </c>
      <c r="Q12" s="35"/>
      <c r="R12" t="s">
        <v>1245</v>
      </c>
      <c r="T12" s="35"/>
    </row>
    <row r="13" spans="1:20" x14ac:dyDescent="0.35">
      <c r="A13" s="35" t="s">
        <v>736</v>
      </c>
      <c r="B13" s="29" t="s">
        <v>1326</v>
      </c>
      <c r="C13" s="35" t="s">
        <v>185</v>
      </c>
      <c r="D13" s="35" t="s">
        <v>691</v>
      </c>
      <c r="E13" s="35"/>
      <c r="F13" s="29" t="s">
        <v>692</v>
      </c>
      <c r="G13" s="29"/>
      <c r="H13" s="35"/>
      <c r="I13" s="29" t="s">
        <v>693</v>
      </c>
      <c r="J13" s="35"/>
      <c r="K13" s="35"/>
      <c r="L13" s="36"/>
      <c r="M13" s="35"/>
      <c r="N13" s="35"/>
      <c r="O13" s="35" t="s">
        <v>1429</v>
      </c>
      <c r="P13" s="35" t="s">
        <v>1430</v>
      </c>
      <c r="Q13" s="35"/>
      <c r="R13" s="35" t="s">
        <v>1753</v>
      </c>
      <c r="S13" s="35"/>
      <c r="T13" s="35"/>
    </row>
    <row r="14" spans="1:20" x14ac:dyDescent="0.35">
      <c r="A14" s="35" t="s">
        <v>706</v>
      </c>
      <c r="B14" s="29" t="s">
        <v>1187</v>
      </c>
      <c r="C14" s="35" t="s">
        <v>185</v>
      </c>
      <c r="D14" s="35" t="s">
        <v>691</v>
      </c>
      <c r="E14" s="35"/>
      <c r="F14" s="29" t="s">
        <v>692</v>
      </c>
      <c r="G14" s="29"/>
      <c r="H14" s="35"/>
      <c r="I14" s="29" t="s">
        <v>693</v>
      </c>
      <c r="J14" s="35"/>
      <c r="K14" s="35"/>
      <c r="L14" s="36"/>
      <c r="M14" s="35"/>
      <c r="N14" s="35"/>
      <c r="O14" s="35" t="s">
        <v>1187</v>
      </c>
      <c r="P14" s="35" t="s">
        <v>1437</v>
      </c>
      <c r="Q14" s="35"/>
      <c r="R14" s="35" t="s">
        <v>1187</v>
      </c>
      <c r="S14" s="35"/>
      <c r="T14" s="35"/>
    </row>
    <row r="15" spans="1:20" x14ac:dyDescent="0.35">
      <c r="A15" s="35" t="s">
        <v>735</v>
      </c>
      <c r="B15" s="29" t="s">
        <v>1325</v>
      </c>
      <c r="C15" s="35" t="s">
        <v>185</v>
      </c>
      <c r="D15" s="35" t="s">
        <v>691</v>
      </c>
      <c r="E15" s="35"/>
      <c r="F15" s="29" t="s">
        <v>692</v>
      </c>
      <c r="G15" s="29"/>
      <c r="H15" s="35"/>
      <c r="I15" s="29" t="s">
        <v>693</v>
      </c>
      <c r="J15" s="35"/>
      <c r="K15" s="35"/>
      <c r="L15" s="36"/>
      <c r="M15" s="35"/>
      <c r="N15" s="35"/>
      <c r="O15" s="35" t="s">
        <v>1438</v>
      </c>
      <c r="P15" s="35" t="s">
        <v>1439</v>
      </c>
      <c r="Q15" s="35"/>
      <c r="R15" s="35" t="s">
        <v>1754</v>
      </c>
      <c r="S15" s="35"/>
      <c r="T15" s="35"/>
    </row>
    <row r="16" spans="1:20" x14ac:dyDescent="0.35">
      <c r="B16" s="29" t="s">
        <v>1258</v>
      </c>
      <c r="C16" s="35" t="s">
        <v>185</v>
      </c>
      <c r="D16" s="35" t="s">
        <v>691</v>
      </c>
      <c r="E16" s="35"/>
      <c r="F16" s="29" t="s">
        <v>692</v>
      </c>
      <c r="G16" s="29"/>
      <c r="H16" s="35"/>
      <c r="I16" s="29" t="s">
        <v>693</v>
      </c>
      <c r="J16" s="35"/>
      <c r="K16" s="35"/>
      <c r="L16" s="36"/>
      <c r="M16" s="35"/>
      <c r="N16" s="35"/>
      <c r="O16" s="35" t="s">
        <v>1429</v>
      </c>
      <c r="P16" s="35" t="s">
        <v>1430</v>
      </c>
      <c r="Q16" s="35"/>
      <c r="R16" s="35" t="s">
        <v>1753</v>
      </c>
      <c r="S16" s="35"/>
      <c r="T16" s="35"/>
    </row>
    <row r="17" spans="1:20" x14ac:dyDescent="0.35">
      <c r="B17" s="29" t="s">
        <v>1252</v>
      </c>
      <c r="C17" s="191" t="s">
        <v>691</v>
      </c>
      <c r="D17" s="35" t="s">
        <v>185</v>
      </c>
      <c r="E17" s="35" t="s">
        <v>696</v>
      </c>
      <c r="F17" s="35" t="s">
        <v>692</v>
      </c>
      <c r="G17" s="29" t="s">
        <v>1142</v>
      </c>
      <c r="H17" s="35" t="s">
        <v>200</v>
      </c>
      <c r="I17" s="35"/>
      <c r="J17" s="35" t="s">
        <v>719</v>
      </c>
      <c r="K17" s="35" t="s">
        <v>719</v>
      </c>
      <c r="L17" s="36"/>
      <c r="M17" s="35"/>
      <c r="N17" s="35"/>
      <c r="O17" s="35" t="s">
        <v>1252</v>
      </c>
      <c r="P17" s="35" t="s">
        <v>1433</v>
      </c>
      <c r="Q17" s="35"/>
      <c r="R17" t="s">
        <v>1252</v>
      </c>
      <c r="T17" s="35"/>
    </row>
    <row r="18" spans="1:20" x14ac:dyDescent="0.35">
      <c r="A18" s="35" t="s">
        <v>733</v>
      </c>
      <c r="B18" s="29" t="s">
        <v>1189</v>
      </c>
      <c r="C18" s="35" t="s">
        <v>185</v>
      </c>
      <c r="D18" s="35" t="s">
        <v>691</v>
      </c>
      <c r="E18" s="35"/>
      <c r="F18" s="29" t="s">
        <v>692</v>
      </c>
      <c r="G18" s="29"/>
      <c r="H18" s="35"/>
      <c r="I18" s="29" t="s">
        <v>693</v>
      </c>
      <c r="J18" s="35"/>
      <c r="K18" s="35"/>
      <c r="L18" s="36"/>
      <c r="M18" s="35"/>
      <c r="N18" s="35"/>
      <c r="O18" s="35" t="s">
        <v>1429</v>
      </c>
      <c r="P18" s="35" t="s">
        <v>1430</v>
      </c>
      <c r="Q18" s="35"/>
      <c r="R18" s="35" t="s">
        <v>1753</v>
      </c>
      <c r="S18" s="35"/>
      <c r="T18" s="35"/>
    </row>
    <row r="19" spans="1:20" x14ac:dyDescent="0.35">
      <c r="A19" s="35" t="s">
        <v>702</v>
      </c>
      <c r="B19" s="29" t="s">
        <v>1275</v>
      </c>
      <c r="C19" s="35" t="s">
        <v>691</v>
      </c>
      <c r="D19" s="35" t="s">
        <v>691</v>
      </c>
      <c r="E19" s="35" t="s">
        <v>701</v>
      </c>
      <c r="F19" s="29" t="s">
        <v>692</v>
      </c>
      <c r="G19" s="29" t="s">
        <v>193</v>
      </c>
      <c r="H19" s="35"/>
      <c r="I19" s="29" t="s">
        <v>693</v>
      </c>
      <c r="J19" s="35" t="s">
        <v>697</v>
      </c>
      <c r="K19" s="35"/>
      <c r="L19" s="36"/>
      <c r="M19" s="35"/>
      <c r="N19" s="35"/>
      <c r="O19" s="35" t="s">
        <v>1425</v>
      </c>
      <c r="P19" s="35" t="s">
        <v>1440</v>
      </c>
      <c r="Q19" s="35"/>
      <c r="R19" t="s">
        <v>1239</v>
      </c>
      <c r="T19" s="35"/>
    </row>
    <row r="20" spans="1:20" x14ac:dyDescent="0.35">
      <c r="B20" s="29" t="s">
        <v>1306</v>
      </c>
      <c r="C20" s="35" t="s">
        <v>691</v>
      </c>
      <c r="D20" s="35" t="s">
        <v>691</v>
      </c>
      <c r="E20" s="35" t="s">
        <v>701</v>
      </c>
      <c r="F20" s="29" t="s">
        <v>692</v>
      </c>
      <c r="G20" s="29" t="s">
        <v>192</v>
      </c>
      <c r="H20" s="35" t="s">
        <v>200</v>
      </c>
      <c r="I20" s="29" t="s">
        <v>693</v>
      </c>
      <c r="J20" s="35" t="s">
        <v>697</v>
      </c>
      <c r="K20" s="35" t="s">
        <v>724</v>
      </c>
      <c r="L20" s="35" t="s">
        <v>1191</v>
      </c>
      <c r="M20" s="35" t="s">
        <v>1602</v>
      </c>
      <c r="N20" s="35" t="s">
        <v>1604</v>
      </c>
      <c r="O20" s="35" t="s">
        <v>1441</v>
      </c>
      <c r="P20" s="35" t="s">
        <v>1442</v>
      </c>
      <c r="Q20" s="35" t="s">
        <v>1500</v>
      </c>
      <c r="R20" t="s">
        <v>1236</v>
      </c>
      <c r="S20" t="s">
        <v>1838</v>
      </c>
      <c r="T20" s="35"/>
    </row>
    <row r="21" spans="1:20" x14ac:dyDescent="0.35">
      <c r="B21" s="29" t="s">
        <v>1307</v>
      </c>
      <c r="C21" s="35" t="s">
        <v>691</v>
      </c>
      <c r="D21" s="35" t="s">
        <v>691</v>
      </c>
      <c r="E21" s="35" t="s">
        <v>701</v>
      </c>
      <c r="F21" s="29" t="s">
        <v>692</v>
      </c>
      <c r="G21" s="29" t="s">
        <v>192</v>
      </c>
      <c r="H21" s="35" t="s">
        <v>200</v>
      </c>
      <c r="I21" s="29" t="s">
        <v>693</v>
      </c>
      <c r="J21" s="35" t="s">
        <v>697</v>
      </c>
      <c r="K21" s="35" t="s">
        <v>724</v>
      </c>
      <c r="L21" s="35" t="s">
        <v>1191</v>
      </c>
      <c r="M21" s="35" t="s">
        <v>1602</v>
      </c>
      <c r="N21" s="35" t="s">
        <v>1604</v>
      </c>
      <c r="O21" s="35" t="s">
        <v>1441</v>
      </c>
      <c r="P21" s="35" t="s">
        <v>1442</v>
      </c>
      <c r="Q21" s="35" t="s">
        <v>1500</v>
      </c>
      <c r="R21" t="s">
        <v>1236</v>
      </c>
      <c r="S21" t="s">
        <v>1838</v>
      </c>
      <c r="T21" s="35"/>
    </row>
    <row r="22" spans="1:20" x14ac:dyDescent="0.35">
      <c r="B22" s="29" t="s">
        <v>1308</v>
      </c>
      <c r="C22" s="35" t="s">
        <v>691</v>
      </c>
      <c r="D22" s="35" t="s">
        <v>691</v>
      </c>
      <c r="E22" s="35" t="s">
        <v>701</v>
      </c>
      <c r="F22" s="29" t="s">
        <v>692</v>
      </c>
      <c r="G22" s="29" t="s">
        <v>192</v>
      </c>
      <c r="H22" s="35" t="s">
        <v>200</v>
      </c>
      <c r="I22" s="29" t="s">
        <v>693</v>
      </c>
      <c r="J22" s="35" t="s">
        <v>697</v>
      </c>
      <c r="K22" s="35" t="s">
        <v>724</v>
      </c>
      <c r="L22" s="35" t="s">
        <v>1191</v>
      </c>
      <c r="M22" s="35" t="s">
        <v>1602</v>
      </c>
      <c r="N22" s="35"/>
      <c r="O22" s="35" t="s">
        <v>1441</v>
      </c>
      <c r="P22" s="35" t="s">
        <v>1442</v>
      </c>
      <c r="Q22" s="35" t="s">
        <v>1365</v>
      </c>
      <c r="R22" t="s">
        <v>1235</v>
      </c>
      <c r="S22" t="s">
        <v>1838</v>
      </c>
      <c r="T22" s="35"/>
    </row>
    <row r="23" spans="1:20" x14ac:dyDescent="0.35">
      <c r="B23" s="29" t="s">
        <v>1309</v>
      </c>
      <c r="C23" s="35" t="s">
        <v>691</v>
      </c>
      <c r="D23" s="35" t="s">
        <v>691</v>
      </c>
      <c r="E23" s="35" t="s">
        <v>701</v>
      </c>
      <c r="F23" s="29" t="s">
        <v>692</v>
      </c>
      <c r="G23" s="29" t="s">
        <v>192</v>
      </c>
      <c r="H23" s="35" t="s">
        <v>200</v>
      </c>
      <c r="I23" s="29" t="s">
        <v>693</v>
      </c>
      <c r="J23" s="35" t="s">
        <v>697</v>
      </c>
      <c r="K23" s="35" t="s">
        <v>724</v>
      </c>
      <c r="L23" s="35" t="s">
        <v>1191</v>
      </c>
      <c r="M23" s="35" t="s">
        <v>1602</v>
      </c>
      <c r="N23" s="35"/>
      <c r="O23" s="35" t="s">
        <v>1441</v>
      </c>
      <c r="P23" s="35" t="s">
        <v>1442</v>
      </c>
      <c r="Q23" s="35" t="s">
        <v>1365</v>
      </c>
      <c r="R23" t="s">
        <v>1235</v>
      </c>
      <c r="S23" t="s">
        <v>1838</v>
      </c>
      <c r="T23" s="35"/>
    </row>
    <row r="24" spans="1:20" x14ac:dyDescent="0.35">
      <c r="B24" s="29" t="s">
        <v>1313</v>
      </c>
      <c r="C24" s="35" t="s">
        <v>691</v>
      </c>
      <c r="D24" s="35" t="s">
        <v>691</v>
      </c>
      <c r="E24" s="35" t="s">
        <v>701</v>
      </c>
      <c r="F24" s="29" t="s">
        <v>692</v>
      </c>
      <c r="G24" s="29" t="s">
        <v>192</v>
      </c>
      <c r="H24" s="35" t="s">
        <v>200</v>
      </c>
      <c r="I24" s="29" t="s">
        <v>693</v>
      </c>
      <c r="J24" s="35" t="s">
        <v>697</v>
      </c>
      <c r="K24" s="35" t="s">
        <v>724</v>
      </c>
      <c r="L24" s="35" t="s">
        <v>1191</v>
      </c>
      <c r="M24" s="35" t="s">
        <v>1602</v>
      </c>
      <c r="N24" s="35" t="s">
        <v>1604</v>
      </c>
      <c r="O24" s="35" t="s">
        <v>1441</v>
      </c>
      <c r="P24" s="35" t="s">
        <v>1442</v>
      </c>
      <c r="Q24" s="35" t="s">
        <v>1506</v>
      </c>
      <c r="R24" t="s">
        <v>1236</v>
      </c>
      <c r="S24" t="s">
        <v>1838</v>
      </c>
      <c r="T24" s="35"/>
    </row>
    <row r="25" spans="1:20" x14ac:dyDescent="0.35">
      <c r="B25" s="29" t="s">
        <v>1314</v>
      </c>
      <c r="C25" s="35" t="s">
        <v>691</v>
      </c>
      <c r="D25" s="35" t="s">
        <v>691</v>
      </c>
      <c r="E25" s="35" t="s">
        <v>701</v>
      </c>
      <c r="F25" s="29" t="s">
        <v>692</v>
      </c>
      <c r="G25" s="29" t="s">
        <v>192</v>
      </c>
      <c r="H25" s="35" t="s">
        <v>200</v>
      </c>
      <c r="I25" s="29" t="s">
        <v>693</v>
      </c>
      <c r="J25" s="35" t="s">
        <v>697</v>
      </c>
      <c r="K25" s="35" t="s">
        <v>724</v>
      </c>
      <c r="L25" s="35" t="s">
        <v>1191</v>
      </c>
      <c r="M25" s="35" t="s">
        <v>1602</v>
      </c>
      <c r="N25" s="35" t="s">
        <v>1604</v>
      </c>
      <c r="O25" s="35" t="s">
        <v>1441</v>
      </c>
      <c r="P25" s="35" t="s">
        <v>1442</v>
      </c>
      <c r="Q25" s="35" t="s">
        <v>1505</v>
      </c>
      <c r="R25" t="s">
        <v>1236</v>
      </c>
      <c r="S25" t="s">
        <v>1838</v>
      </c>
      <c r="T25" s="35"/>
    </row>
    <row r="26" spans="1:20" x14ac:dyDescent="0.35">
      <c r="B26" s="29" t="s">
        <v>1311</v>
      </c>
      <c r="C26" s="35" t="s">
        <v>691</v>
      </c>
      <c r="D26" s="35" t="s">
        <v>691</v>
      </c>
      <c r="E26" s="35" t="s">
        <v>701</v>
      </c>
      <c r="F26" s="29" t="s">
        <v>692</v>
      </c>
      <c r="G26" s="29" t="s">
        <v>192</v>
      </c>
      <c r="H26" s="35" t="s">
        <v>200</v>
      </c>
      <c r="I26" s="29" t="s">
        <v>693</v>
      </c>
      <c r="J26" s="35" t="s">
        <v>697</v>
      </c>
      <c r="K26" s="35" t="s">
        <v>724</v>
      </c>
      <c r="L26" s="35" t="s">
        <v>1191</v>
      </c>
      <c r="M26" s="35" t="s">
        <v>1602</v>
      </c>
      <c r="N26" s="35"/>
      <c r="O26" s="35" t="s">
        <v>1441</v>
      </c>
      <c r="P26" s="35" t="s">
        <v>1442</v>
      </c>
      <c r="Q26" s="35" t="s">
        <v>1504</v>
      </c>
      <c r="R26" t="s">
        <v>1235</v>
      </c>
      <c r="S26" t="s">
        <v>1838</v>
      </c>
      <c r="T26" s="35"/>
    </row>
    <row r="27" spans="1:20" x14ac:dyDescent="0.35">
      <c r="B27" s="29" t="s">
        <v>1312</v>
      </c>
      <c r="C27" s="35" t="s">
        <v>691</v>
      </c>
      <c r="D27" s="35" t="s">
        <v>691</v>
      </c>
      <c r="E27" s="35" t="s">
        <v>701</v>
      </c>
      <c r="F27" s="29" t="s">
        <v>692</v>
      </c>
      <c r="G27" s="29" t="s">
        <v>192</v>
      </c>
      <c r="H27" s="35" t="s">
        <v>200</v>
      </c>
      <c r="I27" s="29" t="s">
        <v>693</v>
      </c>
      <c r="J27" s="35" t="s">
        <v>697</v>
      </c>
      <c r="K27" s="35" t="s">
        <v>724</v>
      </c>
      <c r="L27" s="35" t="s">
        <v>1191</v>
      </c>
      <c r="M27" s="35" t="s">
        <v>1602</v>
      </c>
      <c r="N27" s="35"/>
      <c r="O27" s="35" t="s">
        <v>1441</v>
      </c>
      <c r="P27" s="35" t="s">
        <v>1442</v>
      </c>
      <c r="Q27" s="35" t="s">
        <v>1504</v>
      </c>
      <c r="R27" t="s">
        <v>1235</v>
      </c>
      <c r="S27" t="s">
        <v>1838</v>
      </c>
      <c r="T27" s="35"/>
    </row>
    <row r="28" spans="1:20" x14ac:dyDescent="0.35">
      <c r="B28" s="29" t="s">
        <v>1315</v>
      </c>
      <c r="C28" s="35" t="s">
        <v>691</v>
      </c>
      <c r="D28" s="35" t="s">
        <v>691</v>
      </c>
      <c r="E28" s="35" t="s">
        <v>701</v>
      </c>
      <c r="F28" s="29" t="s">
        <v>692</v>
      </c>
      <c r="G28" s="29" t="s">
        <v>192</v>
      </c>
      <c r="H28" s="35" t="s">
        <v>200</v>
      </c>
      <c r="I28" s="29" t="s">
        <v>693</v>
      </c>
      <c r="J28" s="35" t="s">
        <v>697</v>
      </c>
      <c r="K28" s="35" t="s">
        <v>724</v>
      </c>
      <c r="L28" s="35" t="s">
        <v>1191</v>
      </c>
      <c r="M28" s="35" t="s">
        <v>1602</v>
      </c>
      <c r="N28" s="35"/>
      <c r="O28" s="35" t="s">
        <v>1441</v>
      </c>
      <c r="P28" s="35" t="s">
        <v>1442</v>
      </c>
      <c r="Q28" s="35" t="s">
        <v>1470</v>
      </c>
      <c r="R28" t="s">
        <v>1237</v>
      </c>
      <c r="S28" t="s">
        <v>1838</v>
      </c>
      <c r="T28" s="35"/>
    </row>
    <row r="29" spans="1:20" x14ac:dyDescent="0.35">
      <c r="B29" s="29" t="s">
        <v>1316</v>
      </c>
      <c r="C29" s="35" t="s">
        <v>691</v>
      </c>
      <c r="D29" s="35" t="s">
        <v>691</v>
      </c>
      <c r="E29" s="35" t="s">
        <v>701</v>
      </c>
      <c r="F29" s="29" t="s">
        <v>692</v>
      </c>
      <c r="G29" s="29" t="s">
        <v>192</v>
      </c>
      <c r="H29" s="35" t="s">
        <v>200</v>
      </c>
      <c r="I29" s="29" t="s">
        <v>693</v>
      </c>
      <c r="J29" s="35" t="s">
        <v>697</v>
      </c>
      <c r="K29" s="35" t="s">
        <v>724</v>
      </c>
      <c r="L29" s="35" t="s">
        <v>1191</v>
      </c>
      <c r="M29" s="35" t="s">
        <v>1602</v>
      </c>
      <c r="N29" s="35"/>
      <c r="O29" s="35" t="s">
        <v>1441</v>
      </c>
      <c r="P29" s="35" t="s">
        <v>1442</v>
      </c>
      <c r="Q29" s="35" t="s">
        <v>1503</v>
      </c>
      <c r="R29" t="s">
        <v>1235</v>
      </c>
      <c r="S29" t="s">
        <v>1838</v>
      </c>
      <c r="T29" s="35"/>
    </row>
    <row r="30" spans="1:20" x14ac:dyDescent="0.35">
      <c r="B30" s="29" t="s">
        <v>1317</v>
      </c>
      <c r="C30" s="35" t="s">
        <v>691</v>
      </c>
      <c r="D30" s="35" t="s">
        <v>691</v>
      </c>
      <c r="E30" s="35" t="s">
        <v>701</v>
      </c>
      <c r="F30" s="29" t="s">
        <v>692</v>
      </c>
      <c r="G30" s="29" t="s">
        <v>192</v>
      </c>
      <c r="H30" s="35" t="s">
        <v>200</v>
      </c>
      <c r="I30" s="29" t="s">
        <v>693</v>
      </c>
      <c r="J30" s="35" t="s">
        <v>697</v>
      </c>
      <c r="K30" s="35" t="s">
        <v>724</v>
      </c>
      <c r="L30" s="35" t="s">
        <v>1191</v>
      </c>
      <c r="M30" s="35" t="s">
        <v>1602</v>
      </c>
      <c r="N30" s="35" t="s">
        <v>1604</v>
      </c>
      <c r="O30" s="35" t="s">
        <v>1441</v>
      </c>
      <c r="P30" s="35" t="s">
        <v>1442</v>
      </c>
      <c r="Q30" s="35" t="s">
        <v>1502</v>
      </c>
      <c r="R30" t="s">
        <v>1236</v>
      </c>
      <c r="S30" t="s">
        <v>1838</v>
      </c>
      <c r="T30" s="35"/>
    </row>
    <row r="31" spans="1:20" x14ac:dyDescent="0.35">
      <c r="B31" s="29" t="s">
        <v>1318</v>
      </c>
      <c r="C31" s="35" t="s">
        <v>691</v>
      </c>
      <c r="D31" s="35" t="s">
        <v>691</v>
      </c>
      <c r="E31" s="35" t="s">
        <v>701</v>
      </c>
      <c r="F31" s="29" t="s">
        <v>692</v>
      </c>
      <c r="G31" s="29" t="s">
        <v>192</v>
      </c>
      <c r="H31" s="35" t="s">
        <v>200</v>
      </c>
      <c r="I31" s="29" t="s">
        <v>693</v>
      </c>
      <c r="J31" s="35" t="s">
        <v>697</v>
      </c>
      <c r="K31" s="35" t="s">
        <v>724</v>
      </c>
      <c r="L31" s="35" t="s">
        <v>1191</v>
      </c>
      <c r="M31" s="35" t="s">
        <v>1602</v>
      </c>
      <c r="N31" s="35" t="s">
        <v>1604</v>
      </c>
      <c r="O31" s="35" t="s">
        <v>1441</v>
      </c>
      <c r="P31" s="35" t="s">
        <v>1442</v>
      </c>
      <c r="Q31" s="35" t="s">
        <v>1500</v>
      </c>
      <c r="R31" t="s">
        <v>1236</v>
      </c>
      <c r="S31" t="s">
        <v>1838</v>
      </c>
      <c r="T31" s="35"/>
    </row>
    <row r="32" spans="1:20" x14ac:dyDescent="0.35">
      <c r="B32" s="29" t="s">
        <v>1310</v>
      </c>
      <c r="C32" s="35" t="s">
        <v>691</v>
      </c>
      <c r="D32" s="35" t="s">
        <v>691</v>
      </c>
      <c r="E32" s="35" t="s">
        <v>701</v>
      </c>
      <c r="F32" s="29" t="s">
        <v>692</v>
      </c>
      <c r="G32" s="29" t="s">
        <v>192</v>
      </c>
      <c r="H32" s="35" t="s">
        <v>200</v>
      </c>
      <c r="I32" s="29" t="s">
        <v>693</v>
      </c>
      <c r="J32" s="35" t="s">
        <v>697</v>
      </c>
      <c r="K32" s="35" t="s">
        <v>724</v>
      </c>
      <c r="L32" s="35" t="s">
        <v>1191</v>
      </c>
      <c r="M32" s="35" t="s">
        <v>1602</v>
      </c>
      <c r="N32" s="35" t="s">
        <v>1604</v>
      </c>
      <c r="O32" s="35" t="s">
        <v>1441</v>
      </c>
      <c r="P32" s="35" t="s">
        <v>1442</v>
      </c>
      <c r="Q32" s="35" t="s">
        <v>1501</v>
      </c>
      <c r="R32" t="s">
        <v>1236</v>
      </c>
      <c r="S32" t="s">
        <v>1838</v>
      </c>
      <c r="T32" s="35"/>
    </row>
    <row r="33" spans="1:20" x14ac:dyDescent="0.35">
      <c r="A33" s="35" t="s">
        <v>25</v>
      </c>
      <c r="B33" s="29" t="s">
        <v>1342</v>
      </c>
      <c r="C33" s="35" t="s">
        <v>691</v>
      </c>
      <c r="D33" s="35" t="s">
        <v>691</v>
      </c>
      <c r="E33" s="35" t="s">
        <v>701</v>
      </c>
      <c r="F33" s="29" t="s">
        <v>692</v>
      </c>
      <c r="G33" s="29" t="s">
        <v>193</v>
      </c>
      <c r="H33" s="35"/>
      <c r="I33" s="29" t="s">
        <v>693</v>
      </c>
      <c r="J33" s="35" t="s">
        <v>697</v>
      </c>
      <c r="K33" s="35"/>
      <c r="L33" s="35"/>
      <c r="M33" s="35"/>
      <c r="N33" s="35"/>
      <c r="O33" s="35" t="s">
        <v>1425</v>
      </c>
      <c r="P33" s="35" t="s">
        <v>1440</v>
      </c>
      <c r="Q33" s="35"/>
      <c r="R33" t="s">
        <v>1238</v>
      </c>
      <c r="T33" s="35"/>
    </row>
    <row r="34" spans="1:20" x14ac:dyDescent="0.35">
      <c r="A34" s="35" t="s">
        <v>22</v>
      </c>
      <c r="B34" s="29" t="s">
        <v>1260</v>
      </c>
      <c r="C34" s="35" t="s">
        <v>691</v>
      </c>
      <c r="D34" s="35" t="s">
        <v>691</v>
      </c>
      <c r="E34" s="35" t="s">
        <v>696</v>
      </c>
      <c r="F34" s="29" t="s">
        <v>692</v>
      </c>
      <c r="G34" s="29" t="s">
        <v>192</v>
      </c>
      <c r="H34" s="35"/>
      <c r="I34" s="29" t="s">
        <v>693</v>
      </c>
      <c r="J34" s="35" t="s">
        <v>697</v>
      </c>
      <c r="K34" s="35"/>
      <c r="L34" s="35"/>
      <c r="M34" s="35"/>
      <c r="N34" s="35"/>
      <c r="O34" s="35" t="s">
        <v>1421</v>
      </c>
      <c r="P34" s="35" t="s">
        <v>1443</v>
      </c>
      <c r="Q34" s="35"/>
      <c r="R34" t="s">
        <v>1230</v>
      </c>
      <c r="T34" s="35"/>
    </row>
    <row r="35" spans="1:20" x14ac:dyDescent="0.35">
      <c r="A35" s="35" t="s">
        <v>698</v>
      </c>
      <c r="B35" s="29" t="s">
        <v>1261</v>
      </c>
      <c r="C35" s="35" t="s">
        <v>185</v>
      </c>
      <c r="D35" s="35" t="s">
        <v>691</v>
      </c>
      <c r="E35" s="35"/>
      <c r="F35" s="29" t="s">
        <v>692</v>
      </c>
      <c r="G35" s="29"/>
      <c r="H35" s="35"/>
      <c r="I35" s="29" t="s">
        <v>693</v>
      </c>
      <c r="J35" s="35"/>
      <c r="K35" s="35"/>
      <c r="L35" s="35"/>
      <c r="M35" s="35"/>
      <c r="N35" s="35"/>
      <c r="O35" s="35" t="s">
        <v>1444</v>
      </c>
      <c r="P35" s="35" t="s">
        <v>1437</v>
      </c>
      <c r="Q35" s="35"/>
      <c r="R35" s="35" t="s">
        <v>1755</v>
      </c>
      <c r="S35" s="35"/>
      <c r="T35" s="35"/>
    </row>
    <row r="36" spans="1:20" x14ac:dyDescent="0.35">
      <c r="B36" s="29" t="s">
        <v>1338</v>
      </c>
      <c r="C36" s="35" t="s">
        <v>185</v>
      </c>
      <c r="D36" s="35" t="s">
        <v>185</v>
      </c>
      <c r="E36" s="35"/>
      <c r="F36" s="29" t="s">
        <v>692</v>
      </c>
      <c r="G36" s="29"/>
      <c r="H36" s="35"/>
      <c r="I36" s="29" t="s">
        <v>693</v>
      </c>
      <c r="J36" s="35"/>
      <c r="K36" s="35"/>
      <c r="L36" s="35"/>
      <c r="M36" s="35"/>
      <c r="N36" s="35"/>
      <c r="O36" s="35" t="s">
        <v>1445</v>
      </c>
      <c r="P36" s="35" t="s">
        <v>1433</v>
      </c>
      <c r="Q36" s="35"/>
      <c r="R36" s="35" t="s">
        <v>1756</v>
      </c>
      <c r="S36" s="35"/>
      <c r="T36" s="35"/>
    </row>
    <row r="37" spans="1:20" x14ac:dyDescent="0.35">
      <c r="B37" s="29" t="s">
        <v>1337</v>
      </c>
      <c r="C37" s="35" t="s">
        <v>185</v>
      </c>
      <c r="D37" s="35" t="s">
        <v>185</v>
      </c>
      <c r="E37" s="35"/>
      <c r="F37" s="29" t="s">
        <v>692</v>
      </c>
      <c r="G37" s="29"/>
      <c r="H37" s="35"/>
      <c r="I37" s="29" t="s">
        <v>693</v>
      </c>
      <c r="J37" s="35"/>
      <c r="K37" s="35"/>
      <c r="L37" s="35"/>
      <c r="M37" s="35"/>
      <c r="N37" s="35"/>
      <c r="O37" s="35" t="s">
        <v>1446</v>
      </c>
      <c r="P37" s="35" t="s">
        <v>1433</v>
      </c>
      <c r="Q37" s="35"/>
      <c r="R37" s="35" t="s">
        <v>1753</v>
      </c>
      <c r="S37" s="35"/>
      <c r="T37" s="35"/>
    </row>
    <row r="38" spans="1:20" x14ac:dyDescent="0.35">
      <c r="B38" s="29" t="s">
        <v>1262</v>
      </c>
      <c r="C38" s="35" t="s">
        <v>185</v>
      </c>
      <c r="D38" s="35" t="s">
        <v>691</v>
      </c>
      <c r="E38" s="35"/>
      <c r="F38" s="29" t="s">
        <v>692</v>
      </c>
      <c r="G38" s="29"/>
      <c r="H38" s="35"/>
      <c r="I38" s="29" t="s">
        <v>693</v>
      </c>
      <c r="J38" s="35"/>
      <c r="K38" s="35"/>
      <c r="L38" s="35"/>
      <c r="M38" s="35"/>
      <c r="N38" s="35"/>
      <c r="O38" s="35" t="s">
        <v>1429</v>
      </c>
      <c r="P38" s="35" t="s">
        <v>1430</v>
      </c>
      <c r="Q38" s="35"/>
      <c r="R38" s="35" t="s">
        <v>1753</v>
      </c>
      <c r="S38" s="35"/>
      <c r="T38" s="35"/>
    </row>
    <row r="39" spans="1:20" x14ac:dyDescent="0.35">
      <c r="A39" s="35" t="s">
        <v>734</v>
      </c>
      <c r="B39" s="29" t="s">
        <v>1324</v>
      </c>
      <c r="C39" s="35" t="s">
        <v>185</v>
      </c>
      <c r="D39" s="35" t="s">
        <v>691</v>
      </c>
      <c r="E39" s="35"/>
      <c r="F39" s="29" t="s">
        <v>692</v>
      </c>
      <c r="G39" s="29"/>
      <c r="H39" s="35"/>
      <c r="I39" s="29" t="s">
        <v>693</v>
      </c>
      <c r="J39" s="35"/>
      <c r="K39" s="35"/>
      <c r="L39" s="35"/>
      <c r="M39" s="35"/>
      <c r="N39" s="35"/>
      <c r="O39" s="35" t="s">
        <v>1438</v>
      </c>
      <c r="P39" s="35" t="s">
        <v>1439</v>
      </c>
      <c r="Q39" s="35"/>
      <c r="R39" s="35" t="s">
        <v>1754</v>
      </c>
      <c r="S39" s="35"/>
      <c r="T39" s="35"/>
    </row>
    <row r="40" spans="1:20" x14ac:dyDescent="0.35">
      <c r="A40" s="35" t="s">
        <v>731</v>
      </c>
      <c r="B40" s="29" t="s">
        <v>1321</v>
      </c>
      <c r="C40" s="35" t="s">
        <v>185</v>
      </c>
      <c r="D40" s="35" t="s">
        <v>691</v>
      </c>
      <c r="E40" s="35"/>
      <c r="F40" s="29" t="s">
        <v>692</v>
      </c>
      <c r="G40" s="29"/>
      <c r="H40" s="35"/>
      <c r="I40" s="29" t="s">
        <v>693</v>
      </c>
      <c r="J40" s="35"/>
      <c r="K40" s="35"/>
      <c r="L40" s="35"/>
      <c r="M40" s="35"/>
      <c r="N40" s="35"/>
      <c r="O40" s="35" t="s">
        <v>1447</v>
      </c>
      <c r="P40" s="35" t="s">
        <v>1437</v>
      </c>
      <c r="Q40" s="35"/>
      <c r="R40" s="35" t="s">
        <v>1755</v>
      </c>
      <c r="S40" s="35"/>
      <c r="T40" s="35"/>
    </row>
    <row r="41" spans="1:20" x14ac:dyDescent="0.35">
      <c r="A41" s="35" t="s">
        <v>21</v>
      </c>
      <c r="B41" s="29" t="s">
        <v>1336</v>
      </c>
      <c r="C41" s="35" t="s">
        <v>691</v>
      </c>
      <c r="D41" s="35" t="s">
        <v>691</v>
      </c>
      <c r="E41" s="35" t="s">
        <v>696</v>
      </c>
      <c r="F41" s="29" t="s">
        <v>692</v>
      </c>
      <c r="G41" s="29" t="s">
        <v>192</v>
      </c>
      <c r="H41" s="35"/>
      <c r="I41" s="29" t="s">
        <v>693</v>
      </c>
      <c r="J41" s="35" t="s">
        <v>697</v>
      </c>
      <c r="K41" s="35"/>
      <c r="L41" s="35"/>
      <c r="M41" s="35"/>
      <c r="N41" s="35"/>
      <c r="O41" s="35" t="s">
        <v>1336</v>
      </c>
      <c r="P41" s="35" t="s">
        <v>1448</v>
      </c>
      <c r="Q41" s="35"/>
      <c r="R41" t="s">
        <v>1185</v>
      </c>
      <c r="T41" s="35"/>
    </row>
    <row r="42" spans="1:20" x14ac:dyDescent="0.35">
      <c r="B42" s="29" t="s">
        <v>1305</v>
      </c>
      <c r="C42" s="35" t="s">
        <v>691</v>
      </c>
      <c r="D42" s="35" t="s">
        <v>691</v>
      </c>
      <c r="E42" s="35" t="s">
        <v>696</v>
      </c>
      <c r="F42" s="29" t="s">
        <v>692</v>
      </c>
      <c r="G42" s="29" t="s">
        <v>193</v>
      </c>
      <c r="H42" s="35"/>
      <c r="I42" s="29" t="s">
        <v>693</v>
      </c>
      <c r="J42" s="35" t="s">
        <v>697</v>
      </c>
      <c r="K42" s="35"/>
      <c r="L42" s="35"/>
      <c r="M42" s="35"/>
      <c r="N42" s="35"/>
      <c r="O42" s="35" t="s">
        <v>1449</v>
      </c>
      <c r="P42" s="35" t="s">
        <v>1440</v>
      </c>
      <c r="Q42" s="35"/>
      <c r="R42" t="s">
        <v>1240</v>
      </c>
      <c r="T42" s="35"/>
    </row>
    <row r="43" spans="1:20" x14ac:dyDescent="0.35">
      <c r="B43" s="29" t="s">
        <v>1323</v>
      </c>
      <c r="C43" s="35" t="s">
        <v>185</v>
      </c>
      <c r="D43" s="35" t="s">
        <v>185</v>
      </c>
      <c r="E43" s="35"/>
      <c r="F43" s="29" t="s">
        <v>692</v>
      </c>
      <c r="G43" s="29"/>
      <c r="H43" s="35"/>
      <c r="I43" s="29" t="s">
        <v>693</v>
      </c>
      <c r="J43" s="35"/>
      <c r="K43" s="35"/>
      <c r="L43" s="35"/>
      <c r="M43" s="35"/>
      <c r="N43" s="35"/>
      <c r="O43" s="35" t="s">
        <v>1450</v>
      </c>
      <c r="P43" s="35" t="s">
        <v>1433</v>
      </c>
      <c r="Q43" s="35"/>
      <c r="R43" s="35"/>
      <c r="S43" s="35"/>
      <c r="T43" s="35"/>
    </row>
    <row r="44" spans="1:20" x14ac:dyDescent="0.35">
      <c r="A44" s="35" t="s">
        <v>695</v>
      </c>
      <c r="B44" s="29" t="s">
        <v>1259</v>
      </c>
      <c r="C44" s="35" t="s">
        <v>185</v>
      </c>
      <c r="D44" s="35" t="s">
        <v>691</v>
      </c>
      <c r="E44" s="35"/>
      <c r="F44" s="29" t="s">
        <v>692</v>
      </c>
      <c r="G44" s="29"/>
      <c r="H44" s="35"/>
      <c r="I44" s="29" t="s">
        <v>693</v>
      </c>
      <c r="J44" s="35"/>
      <c r="K44" s="35"/>
      <c r="L44" s="35"/>
      <c r="M44" s="35"/>
      <c r="N44" s="35"/>
      <c r="O44" s="35" t="s">
        <v>1429</v>
      </c>
      <c r="P44" s="35" t="s">
        <v>1430</v>
      </c>
      <c r="Q44" s="35"/>
      <c r="R44" s="35" t="s">
        <v>1753</v>
      </c>
      <c r="S44" s="35"/>
      <c r="T44" s="35"/>
    </row>
    <row r="45" spans="1:20" x14ac:dyDescent="0.35">
      <c r="B45" s="29" t="s">
        <v>729</v>
      </c>
      <c r="C45" s="35" t="s">
        <v>185</v>
      </c>
      <c r="D45" s="35" t="s">
        <v>185</v>
      </c>
      <c r="E45" s="35"/>
      <c r="F45" s="29" t="s">
        <v>189</v>
      </c>
      <c r="G45" s="29"/>
      <c r="H45" s="35"/>
      <c r="I45" s="29" t="s">
        <v>693</v>
      </c>
      <c r="J45" s="35"/>
      <c r="K45" s="35"/>
      <c r="L45" s="35"/>
      <c r="M45" s="35"/>
      <c r="N45" s="35"/>
      <c r="O45" s="35" t="s">
        <v>729</v>
      </c>
      <c r="P45" s="35" t="s">
        <v>729</v>
      </c>
      <c r="Q45" s="35"/>
      <c r="R45" s="35" t="s">
        <v>729</v>
      </c>
      <c r="S45" s="35"/>
      <c r="T45" s="35"/>
    </row>
    <row r="46" spans="1:20" x14ac:dyDescent="0.35">
      <c r="A46" s="35" t="s">
        <v>722</v>
      </c>
      <c r="B46" s="29" t="s">
        <v>1297</v>
      </c>
      <c r="C46" s="35" t="s">
        <v>185</v>
      </c>
      <c r="D46" s="35" t="s">
        <v>691</v>
      </c>
      <c r="E46" s="35"/>
      <c r="F46" s="29" t="s">
        <v>692</v>
      </c>
      <c r="G46" s="29"/>
      <c r="H46" s="35"/>
      <c r="I46" s="29" t="s">
        <v>693</v>
      </c>
      <c r="J46" s="35"/>
      <c r="K46" s="35"/>
      <c r="L46" s="35"/>
      <c r="M46" s="35"/>
      <c r="N46" s="35"/>
      <c r="O46" s="35" t="s">
        <v>1447</v>
      </c>
      <c r="P46" s="35" t="s">
        <v>1437</v>
      </c>
      <c r="Q46" s="35"/>
      <c r="R46" s="35" t="s">
        <v>1755</v>
      </c>
      <c r="S46" s="35"/>
      <c r="T46" s="35"/>
    </row>
    <row r="47" spans="1:20" x14ac:dyDescent="0.35">
      <c r="A47" s="35" t="s">
        <v>708</v>
      </c>
      <c r="B47" s="29" t="s">
        <v>1283</v>
      </c>
      <c r="C47" s="35" t="s">
        <v>185</v>
      </c>
      <c r="D47" s="35" t="s">
        <v>691</v>
      </c>
      <c r="E47" s="35"/>
      <c r="F47" s="29" t="s">
        <v>692</v>
      </c>
      <c r="G47" s="29"/>
      <c r="H47" s="35"/>
      <c r="I47" s="29" t="s">
        <v>693</v>
      </c>
      <c r="J47" s="35"/>
      <c r="K47" s="35" t="s">
        <v>700</v>
      </c>
      <c r="L47" s="35"/>
      <c r="M47" s="35"/>
      <c r="N47" s="35"/>
      <c r="O47" s="35" t="s">
        <v>1447</v>
      </c>
      <c r="P47" s="35" t="s">
        <v>1437</v>
      </c>
      <c r="Q47" s="35"/>
      <c r="R47" s="35" t="s">
        <v>1755</v>
      </c>
      <c r="S47" s="35"/>
      <c r="T47" s="35"/>
    </row>
    <row r="48" spans="1:20" x14ac:dyDescent="0.35">
      <c r="A48" s="29"/>
      <c r="B48" s="29" t="s">
        <v>1288</v>
      </c>
      <c r="C48" s="35" t="s">
        <v>691</v>
      </c>
      <c r="D48" s="35" t="s">
        <v>691</v>
      </c>
      <c r="E48" s="35" t="s">
        <v>696</v>
      </c>
      <c r="F48" s="29" t="s">
        <v>692</v>
      </c>
      <c r="G48" s="29" t="s">
        <v>192</v>
      </c>
      <c r="H48" s="35" t="s">
        <v>200</v>
      </c>
      <c r="I48" s="29" t="s">
        <v>693</v>
      </c>
      <c r="J48" s="35" t="s">
        <v>700</v>
      </c>
      <c r="K48" s="35" t="s">
        <v>700</v>
      </c>
      <c r="L48" s="35" t="s">
        <v>1474</v>
      </c>
      <c r="M48" s="35"/>
      <c r="N48" s="35"/>
      <c r="O48" s="35" t="s">
        <v>1451</v>
      </c>
      <c r="P48" s="35" t="s">
        <v>1437</v>
      </c>
      <c r="Q48" s="35" t="s">
        <v>1507</v>
      </c>
      <c r="R48" t="s">
        <v>1234</v>
      </c>
      <c r="S48" t="s">
        <v>1839</v>
      </c>
      <c r="T48" s="35"/>
    </row>
    <row r="49" spans="1:20" x14ac:dyDescent="0.35">
      <c r="A49" s="29"/>
      <c r="B49" s="29" t="s">
        <v>1289</v>
      </c>
      <c r="C49" s="35" t="s">
        <v>691</v>
      </c>
      <c r="D49" s="35" t="s">
        <v>691</v>
      </c>
      <c r="E49" s="35" t="s">
        <v>696</v>
      </c>
      <c r="F49" s="29" t="s">
        <v>692</v>
      </c>
      <c r="G49" s="29" t="s">
        <v>192</v>
      </c>
      <c r="H49" s="35" t="s">
        <v>200</v>
      </c>
      <c r="I49" s="29" t="s">
        <v>693</v>
      </c>
      <c r="J49" s="35" t="s">
        <v>700</v>
      </c>
      <c r="K49" s="35" t="s">
        <v>700</v>
      </c>
      <c r="L49" s="35" t="s">
        <v>1474</v>
      </c>
      <c r="M49" s="35"/>
      <c r="N49" s="35"/>
      <c r="O49" s="35" t="s">
        <v>1451</v>
      </c>
      <c r="P49" s="35" t="s">
        <v>1437</v>
      </c>
      <c r="Q49" s="35" t="s">
        <v>1508</v>
      </c>
      <c r="R49" t="s">
        <v>1234</v>
      </c>
      <c r="S49" t="s">
        <v>1839</v>
      </c>
      <c r="T49" s="35"/>
    </row>
    <row r="50" spans="1:20" x14ac:dyDescent="0.35">
      <c r="A50" s="29"/>
      <c r="B50" s="29" t="s">
        <v>1290</v>
      </c>
      <c r="C50" s="35" t="s">
        <v>691</v>
      </c>
      <c r="D50" s="35" t="s">
        <v>691</v>
      </c>
      <c r="E50" s="35" t="s">
        <v>696</v>
      </c>
      <c r="F50" s="29" t="s">
        <v>692</v>
      </c>
      <c r="G50" s="29" t="s">
        <v>192</v>
      </c>
      <c r="H50" s="35" t="s">
        <v>200</v>
      </c>
      <c r="I50" s="29" t="s">
        <v>693</v>
      </c>
      <c r="J50" s="35" t="s">
        <v>700</v>
      </c>
      <c r="K50" s="35"/>
      <c r="L50" s="35" t="s">
        <v>1474</v>
      </c>
      <c r="M50" s="35"/>
      <c r="N50" s="35"/>
      <c r="O50" s="35" t="s">
        <v>1451</v>
      </c>
      <c r="P50" s="35" t="s">
        <v>1437</v>
      </c>
      <c r="Q50" s="35" t="s">
        <v>1509</v>
      </c>
      <c r="R50" t="s">
        <v>1234</v>
      </c>
      <c r="S50" t="s">
        <v>1839</v>
      </c>
      <c r="T50" s="35"/>
    </row>
    <row r="51" spans="1:20" x14ac:dyDescent="0.35">
      <c r="A51" s="35" t="s">
        <v>23</v>
      </c>
      <c r="B51" s="29" t="s">
        <v>1291</v>
      </c>
      <c r="C51" s="35" t="s">
        <v>691</v>
      </c>
      <c r="D51" s="35" t="s">
        <v>691</v>
      </c>
      <c r="E51" s="35" t="s">
        <v>696</v>
      </c>
      <c r="F51" s="29" t="s">
        <v>692</v>
      </c>
      <c r="G51" s="29" t="s">
        <v>192</v>
      </c>
      <c r="H51" s="35"/>
      <c r="I51" s="29" t="s">
        <v>693</v>
      </c>
      <c r="J51" s="35" t="s">
        <v>697</v>
      </c>
      <c r="K51" s="35"/>
      <c r="L51" s="35"/>
      <c r="M51" s="35"/>
      <c r="N51" s="35"/>
      <c r="O51" s="35" t="s">
        <v>1421</v>
      </c>
      <c r="P51" s="35" t="s">
        <v>1452</v>
      </c>
      <c r="Q51" s="35"/>
      <c r="R51" t="s">
        <v>1186</v>
      </c>
      <c r="T51" s="35"/>
    </row>
    <row r="52" spans="1:20" x14ac:dyDescent="0.35">
      <c r="A52" s="35" t="s">
        <v>718</v>
      </c>
      <c r="B52" s="29" t="s">
        <v>1292</v>
      </c>
      <c r="C52" s="35" t="s">
        <v>185</v>
      </c>
      <c r="D52" s="35" t="s">
        <v>691</v>
      </c>
      <c r="E52" s="35"/>
      <c r="F52" s="29" t="s">
        <v>692</v>
      </c>
      <c r="G52" s="29"/>
      <c r="H52" s="35"/>
      <c r="I52" s="29" t="s">
        <v>693</v>
      </c>
      <c r="J52" s="35"/>
      <c r="K52" s="35"/>
      <c r="L52" s="35"/>
      <c r="M52" s="35"/>
      <c r="N52" s="35"/>
      <c r="O52" s="35" t="s">
        <v>1447</v>
      </c>
      <c r="P52" s="35" t="s">
        <v>1437</v>
      </c>
      <c r="Q52" s="35"/>
      <c r="R52" s="35" t="s">
        <v>1755</v>
      </c>
      <c r="S52" s="35"/>
      <c r="T52" s="35"/>
    </row>
    <row r="53" spans="1:20" x14ac:dyDescent="0.35">
      <c r="A53" s="35" t="s">
        <v>711</v>
      </c>
      <c r="B53" s="29" t="s">
        <v>1280</v>
      </c>
      <c r="C53" s="35" t="s">
        <v>185</v>
      </c>
      <c r="D53" s="35" t="s">
        <v>691</v>
      </c>
      <c r="E53" s="35"/>
      <c r="F53" s="29" t="s">
        <v>692</v>
      </c>
      <c r="G53" s="29"/>
      <c r="H53" s="35"/>
      <c r="I53" s="29" t="s">
        <v>693</v>
      </c>
      <c r="J53" s="35"/>
      <c r="K53" s="35"/>
      <c r="L53" s="35"/>
      <c r="M53" s="35"/>
      <c r="N53" s="35"/>
      <c r="O53" s="35" t="s">
        <v>1447</v>
      </c>
      <c r="P53" s="35" t="s">
        <v>1437</v>
      </c>
      <c r="Q53" s="35"/>
      <c r="R53" s="35" t="s">
        <v>1755</v>
      </c>
      <c r="S53" s="35"/>
      <c r="T53" s="35"/>
    </row>
    <row r="54" spans="1:20" x14ac:dyDescent="0.35">
      <c r="A54" s="35" t="s">
        <v>712</v>
      </c>
      <c r="B54" s="29" t="s">
        <v>1281</v>
      </c>
      <c r="C54" s="35" t="s">
        <v>185</v>
      </c>
      <c r="D54" s="35" t="s">
        <v>691</v>
      </c>
      <c r="E54" s="35"/>
      <c r="F54" s="29" t="s">
        <v>692</v>
      </c>
      <c r="G54" s="29"/>
      <c r="H54" s="35"/>
      <c r="I54" s="29" t="s">
        <v>693</v>
      </c>
      <c r="J54" s="35"/>
      <c r="K54" s="35"/>
      <c r="L54" s="35"/>
      <c r="M54" s="35"/>
      <c r="N54" s="35"/>
      <c r="O54" s="35" t="s">
        <v>1447</v>
      </c>
      <c r="P54" s="35" t="s">
        <v>1437</v>
      </c>
      <c r="Q54" s="35"/>
      <c r="R54" s="35" t="s">
        <v>1755</v>
      </c>
      <c r="S54" s="35"/>
      <c r="T54" s="35"/>
    </row>
    <row r="55" spans="1:20" x14ac:dyDescent="0.35">
      <c r="A55" s="35" t="s">
        <v>15</v>
      </c>
      <c r="B55" s="29" t="s">
        <v>1299</v>
      </c>
      <c r="C55" s="35" t="s">
        <v>691</v>
      </c>
      <c r="D55" s="35" t="s">
        <v>691</v>
      </c>
      <c r="E55" s="35" t="s">
        <v>696</v>
      </c>
      <c r="F55" s="29" t="s">
        <v>692</v>
      </c>
      <c r="G55" s="29" t="s">
        <v>192</v>
      </c>
      <c r="H55" s="35"/>
      <c r="I55" s="29" t="s">
        <v>693</v>
      </c>
      <c r="J55" s="35" t="s">
        <v>697</v>
      </c>
      <c r="K55" s="35"/>
      <c r="L55" s="35"/>
      <c r="M55" s="35"/>
      <c r="N55" s="35"/>
      <c r="O55" s="35" t="s">
        <v>1421</v>
      </c>
      <c r="P55" s="35" t="s">
        <v>1448</v>
      </c>
      <c r="Q55" s="35"/>
      <c r="R55" t="s">
        <v>1233</v>
      </c>
      <c r="T55" s="35"/>
    </row>
    <row r="56" spans="1:20" x14ac:dyDescent="0.35">
      <c r="A56" s="35" t="s">
        <v>714</v>
      </c>
      <c r="B56" s="29" t="s">
        <v>1284</v>
      </c>
      <c r="C56" s="35" t="s">
        <v>185</v>
      </c>
      <c r="D56" s="35" t="s">
        <v>691</v>
      </c>
      <c r="E56" s="35"/>
      <c r="F56" s="29" t="s">
        <v>692</v>
      </c>
      <c r="G56" s="29"/>
      <c r="H56" s="35"/>
      <c r="I56" s="29" t="s">
        <v>693</v>
      </c>
      <c r="J56" s="35"/>
      <c r="K56" s="35"/>
      <c r="L56" s="35"/>
      <c r="M56" s="35"/>
      <c r="N56" s="35"/>
      <c r="O56" s="35" t="s">
        <v>1447</v>
      </c>
      <c r="P56" s="35" t="s">
        <v>1437</v>
      </c>
      <c r="Q56" s="35"/>
      <c r="R56" s="35" t="s">
        <v>1755</v>
      </c>
      <c r="S56" s="35"/>
      <c r="T56" s="35"/>
    </row>
    <row r="57" spans="1:20" x14ac:dyDescent="0.35">
      <c r="A57" s="35" t="s">
        <v>721</v>
      </c>
      <c r="B57" s="29" t="s">
        <v>1296</v>
      </c>
      <c r="C57" s="35" t="s">
        <v>185</v>
      </c>
      <c r="D57" s="35" t="s">
        <v>691</v>
      </c>
      <c r="E57" s="35"/>
      <c r="F57" s="29" t="s">
        <v>692</v>
      </c>
      <c r="G57" s="29"/>
      <c r="H57" s="35"/>
      <c r="I57" s="29" t="s">
        <v>693</v>
      </c>
      <c r="J57" s="35"/>
      <c r="K57" s="35"/>
      <c r="L57" s="35"/>
      <c r="M57" s="35"/>
      <c r="N57" s="35"/>
      <c r="O57" s="35" t="s">
        <v>1447</v>
      </c>
      <c r="P57" s="35" t="s">
        <v>1437</v>
      </c>
      <c r="Q57" s="35"/>
      <c r="R57" s="35" t="s">
        <v>1755</v>
      </c>
      <c r="S57" s="35"/>
      <c r="T57" s="35"/>
    </row>
    <row r="58" spans="1:20" x14ac:dyDescent="0.35">
      <c r="B58" s="29" t="s">
        <v>1294</v>
      </c>
      <c r="C58" s="35" t="s">
        <v>691</v>
      </c>
      <c r="D58" s="35" t="s">
        <v>691</v>
      </c>
      <c r="E58" s="35" t="s">
        <v>701</v>
      </c>
      <c r="F58" s="29" t="s">
        <v>692</v>
      </c>
      <c r="G58" s="29" t="s">
        <v>192</v>
      </c>
      <c r="H58" s="35" t="s">
        <v>200</v>
      </c>
      <c r="I58" s="29" t="s">
        <v>693</v>
      </c>
      <c r="J58" s="35" t="s">
        <v>697</v>
      </c>
      <c r="K58" s="35" t="s">
        <v>724</v>
      </c>
      <c r="L58" s="35" t="s">
        <v>1759</v>
      </c>
      <c r="M58" s="35"/>
      <c r="N58" s="35"/>
      <c r="O58" s="35" t="s">
        <v>1422</v>
      </c>
      <c r="P58" s="35" t="s">
        <v>1448</v>
      </c>
      <c r="Q58" s="35" t="s">
        <v>1830</v>
      </c>
      <c r="R58" t="s">
        <v>1232</v>
      </c>
      <c r="S58" t="s">
        <v>1378</v>
      </c>
      <c r="T58" s="35"/>
    </row>
    <row r="59" spans="1:20" x14ac:dyDescent="0.35">
      <c r="B59" s="29" t="s">
        <v>1293</v>
      </c>
      <c r="C59" s="35" t="s">
        <v>691</v>
      </c>
      <c r="D59" s="35" t="s">
        <v>691</v>
      </c>
      <c r="E59" s="35" t="s">
        <v>701</v>
      </c>
      <c r="F59" s="29" t="s">
        <v>692</v>
      </c>
      <c r="G59" s="29" t="s">
        <v>192</v>
      </c>
      <c r="H59" s="35" t="s">
        <v>200</v>
      </c>
      <c r="I59" s="29" t="s">
        <v>693</v>
      </c>
      <c r="J59" s="35" t="s">
        <v>697</v>
      </c>
      <c r="K59" s="35" t="s">
        <v>724</v>
      </c>
      <c r="L59" s="35" t="s">
        <v>1759</v>
      </c>
      <c r="M59" s="35"/>
      <c r="N59" s="35"/>
      <c r="O59" s="35" t="s">
        <v>1422</v>
      </c>
      <c r="P59" s="35" t="s">
        <v>1448</v>
      </c>
      <c r="Q59" s="35" t="s">
        <v>1831</v>
      </c>
      <c r="R59" t="s">
        <v>1231</v>
      </c>
      <c r="S59" t="s">
        <v>1378</v>
      </c>
      <c r="T59" s="35"/>
    </row>
    <row r="60" spans="1:20" x14ac:dyDescent="0.35">
      <c r="A60" s="35" t="s">
        <v>715</v>
      </c>
      <c r="B60" s="29" t="s">
        <v>1285</v>
      </c>
      <c r="C60" s="35" t="s">
        <v>185</v>
      </c>
      <c r="D60" s="35" t="s">
        <v>691</v>
      </c>
      <c r="E60" s="35"/>
      <c r="F60" s="29" t="s">
        <v>692</v>
      </c>
      <c r="G60" s="29"/>
      <c r="H60" s="35"/>
      <c r="I60" s="29" t="s">
        <v>693</v>
      </c>
      <c r="J60" s="35"/>
      <c r="K60" s="35"/>
      <c r="L60" s="35"/>
      <c r="M60" s="35"/>
      <c r="N60" s="35"/>
      <c r="O60" s="35" t="s">
        <v>1447</v>
      </c>
      <c r="P60" s="35" t="s">
        <v>1437</v>
      </c>
      <c r="Q60" s="35"/>
      <c r="R60" s="35" t="s">
        <v>1755</v>
      </c>
      <c r="S60" s="35"/>
      <c r="T60" s="35"/>
    </row>
    <row r="61" spans="1:20" x14ac:dyDescent="0.35">
      <c r="A61" s="35" t="s">
        <v>716</v>
      </c>
      <c r="B61" s="29" t="s">
        <v>1286</v>
      </c>
      <c r="C61" s="35" t="s">
        <v>185</v>
      </c>
      <c r="D61" s="35" t="s">
        <v>691</v>
      </c>
      <c r="E61" s="35"/>
      <c r="F61" s="29" t="s">
        <v>692</v>
      </c>
      <c r="G61" s="29"/>
      <c r="H61" s="35"/>
      <c r="I61" s="29" t="s">
        <v>693</v>
      </c>
      <c r="J61" s="35"/>
      <c r="K61" s="35"/>
      <c r="L61" s="35"/>
      <c r="M61" s="35"/>
      <c r="N61" s="35"/>
      <c r="O61" s="35" t="s">
        <v>1447</v>
      </c>
      <c r="P61" s="35" t="s">
        <v>1437</v>
      </c>
      <c r="Q61" s="35"/>
      <c r="R61" s="35" t="s">
        <v>1755</v>
      </c>
      <c r="S61" s="35"/>
      <c r="T61" s="35"/>
    </row>
    <row r="62" spans="1:20" x14ac:dyDescent="0.35">
      <c r="A62" s="35" t="s">
        <v>720</v>
      </c>
      <c r="B62" s="29" t="s">
        <v>1295</v>
      </c>
      <c r="C62" s="35" t="s">
        <v>185</v>
      </c>
      <c r="D62" s="35" t="s">
        <v>691</v>
      </c>
      <c r="E62" s="35"/>
      <c r="F62" s="29" t="s">
        <v>692</v>
      </c>
      <c r="G62" s="29"/>
      <c r="H62" s="35"/>
      <c r="I62" s="29" t="s">
        <v>693</v>
      </c>
      <c r="J62" s="35"/>
      <c r="K62" s="35"/>
      <c r="L62" s="35"/>
      <c r="M62" s="35"/>
      <c r="N62" s="35"/>
      <c r="O62" s="35" t="s">
        <v>1447</v>
      </c>
      <c r="P62" s="35" t="s">
        <v>1437</v>
      </c>
      <c r="Q62" s="35"/>
      <c r="R62" s="35" t="s">
        <v>1755</v>
      </c>
      <c r="S62" s="35"/>
      <c r="T62" s="35"/>
    </row>
    <row r="63" spans="1:20" x14ac:dyDescent="0.35">
      <c r="A63" s="35" t="s">
        <v>723</v>
      </c>
      <c r="B63" s="29" t="s">
        <v>1298</v>
      </c>
      <c r="C63" s="35" t="s">
        <v>185</v>
      </c>
      <c r="D63" s="35" t="s">
        <v>691</v>
      </c>
      <c r="E63" s="35"/>
      <c r="F63" s="29" t="s">
        <v>692</v>
      </c>
      <c r="G63" s="29"/>
      <c r="H63" s="35"/>
      <c r="I63" s="29" t="s">
        <v>693</v>
      </c>
      <c r="J63" s="35"/>
      <c r="K63" s="35"/>
      <c r="L63" s="35"/>
      <c r="M63" s="35"/>
      <c r="N63" s="35"/>
      <c r="O63" s="35" t="s">
        <v>1447</v>
      </c>
      <c r="P63" s="35" t="s">
        <v>1437</v>
      </c>
      <c r="Q63" s="35"/>
      <c r="R63" s="35" t="s">
        <v>1755</v>
      </c>
      <c r="S63" s="35"/>
      <c r="T63" s="35"/>
    </row>
    <row r="64" spans="1:20" x14ac:dyDescent="0.35">
      <c r="A64" s="35" t="s">
        <v>707</v>
      </c>
      <c r="B64" s="29" t="s">
        <v>1276</v>
      </c>
      <c r="C64" s="35" t="s">
        <v>185</v>
      </c>
      <c r="D64" s="35" t="s">
        <v>691</v>
      </c>
      <c r="E64" s="35"/>
      <c r="F64" s="29" t="s">
        <v>692</v>
      </c>
      <c r="G64" s="29"/>
      <c r="H64" s="35"/>
      <c r="I64" s="29" t="s">
        <v>693</v>
      </c>
      <c r="J64" s="35"/>
      <c r="K64" s="35"/>
      <c r="L64" s="35"/>
      <c r="M64" s="35"/>
      <c r="N64" s="35"/>
      <c r="O64" s="35" t="s">
        <v>1447</v>
      </c>
      <c r="P64" s="35" t="s">
        <v>1437</v>
      </c>
      <c r="Q64" s="35"/>
      <c r="R64" s="35" t="s">
        <v>1755</v>
      </c>
      <c r="S64" s="35"/>
      <c r="T64" s="35"/>
    </row>
    <row r="65" spans="1:20" x14ac:dyDescent="0.35">
      <c r="A65" t="s">
        <v>708</v>
      </c>
      <c r="B65" s="29" t="s">
        <v>1277</v>
      </c>
      <c r="C65" s="35" t="s">
        <v>185</v>
      </c>
      <c r="D65" s="35" t="s">
        <v>691</v>
      </c>
      <c r="E65" s="35"/>
      <c r="F65" s="29" t="s">
        <v>692</v>
      </c>
      <c r="G65" s="29"/>
      <c r="H65" s="35"/>
      <c r="I65" s="29" t="s">
        <v>693</v>
      </c>
      <c r="J65" s="35"/>
      <c r="K65" s="35"/>
      <c r="L65" s="35"/>
      <c r="M65" s="35"/>
      <c r="N65" s="35"/>
      <c r="O65" s="35" t="s">
        <v>1447</v>
      </c>
      <c r="P65" s="35" t="s">
        <v>1437</v>
      </c>
      <c r="Q65" s="35"/>
      <c r="R65" s="35" t="s">
        <v>1755</v>
      </c>
      <c r="S65" s="35"/>
      <c r="T65" s="35"/>
    </row>
    <row r="66" spans="1:20" x14ac:dyDescent="0.35">
      <c r="A66" s="35" t="s">
        <v>710</v>
      </c>
      <c r="B66" s="29" t="s">
        <v>1279</v>
      </c>
      <c r="C66" s="35" t="s">
        <v>185</v>
      </c>
      <c r="D66" s="35" t="s">
        <v>691</v>
      </c>
      <c r="E66" s="35"/>
      <c r="F66" s="29" t="s">
        <v>692</v>
      </c>
      <c r="G66" s="29"/>
      <c r="H66" s="35"/>
      <c r="I66" s="29" t="s">
        <v>693</v>
      </c>
      <c r="J66" s="35"/>
      <c r="K66" s="35"/>
      <c r="L66" s="35"/>
      <c r="M66" s="35"/>
      <c r="N66" s="35"/>
      <c r="O66" s="35" t="s">
        <v>1447</v>
      </c>
      <c r="P66" s="35" t="s">
        <v>1437</v>
      </c>
      <c r="Q66" s="35"/>
      <c r="R66" s="35" t="s">
        <v>1755</v>
      </c>
      <c r="S66" s="35"/>
      <c r="T66" s="35"/>
    </row>
    <row r="67" spans="1:20" x14ac:dyDescent="0.35">
      <c r="A67" s="35" t="s">
        <v>709</v>
      </c>
      <c r="B67" s="29" t="s">
        <v>1278</v>
      </c>
      <c r="C67" s="35" t="s">
        <v>185</v>
      </c>
      <c r="D67" s="35" t="s">
        <v>691</v>
      </c>
      <c r="E67" s="35"/>
      <c r="F67" s="29" t="s">
        <v>692</v>
      </c>
      <c r="G67" s="29"/>
      <c r="H67" s="35"/>
      <c r="I67" s="29" t="s">
        <v>693</v>
      </c>
      <c r="J67" s="35"/>
      <c r="K67" s="35"/>
      <c r="L67" s="35"/>
      <c r="M67" s="35"/>
      <c r="N67" s="35"/>
      <c r="O67" s="35" t="s">
        <v>1447</v>
      </c>
      <c r="P67" s="35" t="s">
        <v>1437</v>
      </c>
      <c r="Q67" s="35"/>
      <c r="R67" s="35" t="s">
        <v>1755</v>
      </c>
      <c r="S67" s="35"/>
      <c r="T67" s="35"/>
    </row>
    <row r="68" spans="1:20" x14ac:dyDescent="0.35">
      <c r="A68" s="35" t="s">
        <v>717</v>
      </c>
      <c r="B68" s="29" t="s">
        <v>1287</v>
      </c>
      <c r="C68" s="35" t="s">
        <v>185</v>
      </c>
      <c r="D68" s="35" t="s">
        <v>691</v>
      </c>
      <c r="E68" s="35"/>
      <c r="F68" s="29" t="s">
        <v>692</v>
      </c>
      <c r="G68" s="29"/>
      <c r="H68" s="35"/>
      <c r="I68" s="29" t="s">
        <v>693</v>
      </c>
      <c r="J68" s="35"/>
      <c r="K68" s="35"/>
      <c r="L68" s="35"/>
      <c r="M68" s="35"/>
      <c r="N68" s="35"/>
      <c r="O68" s="35" t="s">
        <v>1447</v>
      </c>
      <c r="P68" s="35" t="s">
        <v>1437</v>
      </c>
      <c r="Q68" s="35"/>
      <c r="R68" s="35" t="s">
        <v>1755</v>
      </c>
      <c r="S68" s="35"/>
      <c r="T68" s="35"/>
    </row>
    <row r="69" spans="1:20" x14ac:dyDescent="0.35">
      <c r="A69" s="35" t="s">
        <v>713</v>
      </c>
      <c r="B69" s="29" t="s">
        <v>1282</v>
      </c>
      <c r="C69" s="35" t="s">
        <v>185</v>
      </c>
      <c r="D69" s="35" t="s">
        <v>691</v>
      </c>
      <c r="E69" s="35"/>
      <c r="F69" s="29" t="s">
        <v>692</v>
      </c>
      <c r="G69" s="29"/>
      <c r="H69" s="35"/>
      <c r="I69" s="29" t="s">
        <v>693</v>
      </c>
      <c r="J69" s="35"/>
      <c r="K69" s="35"/>
      <c r="L69" s="35"/>
      <c r="M69" s="35"/>
      <c r="N69" s="35"/>
      <c r="O69" s="35" t="s">
        <v>1447</v>
      </c>
      <c r="P69" s="35" t="s">
        <v>1437</v>
      </c>
      <c r="Q69" s="35"/>
      <c r="R69" s="35" t="s">
        <v>1755</v>
      </c>
      <c r="S69" s="35"/>
      <c r="T69" s="35"/>
    </row>
    <row r="70" spans="1:20" x14ac:dyDescent="0.35">
      <c r="A70" s="35" t="s">
        <v>742</v>
      </c>
      <c r="B70" s="29" t="s">
        <v>1343</v>
      </c>
      <c r="C70" s="35" t="s">
        <v>185</v>
      </c>
      <c r="D70" s="35" t="s">
        <v>691</v>
      </c>
      <c r="E70" s="35"/>
      <c r="F70" s="29" t="s">
        <v>692</v>
      </c>
      <c r="G70" s="29"/>
      <c r="H70" s="35"/>
      <c r="I70" s="29" t="s">
        <v>693</v>
      </c>
      <c r="J70" s="35"/>
      <c r="K70" s="35"/>
      <c r="L70" s="35"/>
      <c r="M70" s="35"/>
      <c r="N70" s="35"/>
      <c r="O70" s="35" t="s">
        <v>1431</v>
      </c>
      <c r="P70" s="35" t="s">
        <v>1432</v>
      </c>
      <c r="Q70" s="35"/>
      <c r="R70" s="35" t="s">
        <v>1752</v>
      </c>
      <c r="S70" s="35"/>
      <c r="T70" s="35"/>
    </row>
    <row r="71" spans="1:20" x14ac:dyDescent="0.35">
      <c r="B71" s="29" t="s">
        <v>1255</v>
      </c>
      <c r="C71" s="35" t="s">
        <v>185</v>
      </c>
      <c r="D71" s="35" t="s">
        <v>691</v>
      </c>
      <c r="E71" s="35"/>
      <c r="F71" s="29" t="s">
        <v>692</v>
      </c>
      <c r="G71" s="29"/>
      <c r="H71" s="35"/>
      <c r="I71" s="29" t="s">
        <v>693</v>
      </c>
      <c r="J71" s="35"/>
      <c r="K71" s="35"/>
      <c r="L71" s="35"/>
      <c r="M71" s="35"/>
      <c r="N71" s="35"/>
      <c r="O71" s="35" t="s">
        <v>1429</v>
      </c>
      <c r="P71" s="35" t="s">
        <v>1430</v>
      </c>
      <c r="Q71" s="35"/>
      <c r="R71" s="35" t="s">
        <v>1753</v>
      </c>
      <c r="S71" s="35"/>
      <c r="T71" s="35"/>
    </row>
    <row r="72" spans="1:20" x14ac:dyDescent="0.35">
      <c r="A72" s="35" t="s">
        <v>690</v>
      </c>
      <c r="B72" s="29" t="s">
        <v>1254</v>
      </c>
      <c r="C72" s="35" t="s">
        <v>185</v>
      </c>
      <c r="D72" s="35" t="s">
        <v>691</v>
      </c>
      <c r="E72" s="35"/>
      <c r="F72" s="29" t="s">
        <v>692</v>
      </c>
      <c r="G72" s="29"/>
      <c r="H72" s="35"/>
      <c r="I72" s="29" t="s">
        <v>693</v>
      </c>
      <c r="J72" s="35"/>
      <c r="K72" s="35"/>
      <c r="L72" s="35"/>
      <c r="M72" s="35"/>
      <c r="N72" s="35"/>
      <c r="O72" s="35" t="s">
        <v>1447</v>
      </c>
      <c r="P72" s="35" t="s">
        <v>1437</v>
      </c>
      <c r="Q72" s="35"/>
      <c r="R72" s="35" t="s">
        <v>1755</v>
      </c>
      <c r="S72" s="35"/>
      <c r="T72" s="35"/>
    </row>
    <row r="73" spans="1:20" x14ac:dyDescent="0.35">
      <c r="B73" s="29" t="s">
        <v>1256</v>
      </c>
      <c r="C73" s="35" t="s">
        <v>185</v>
      </c>
      <c r="D73" s="35" t="s">
        <v>691</v>
      </c>
      <c r="E73" s="35"/>
      <c r="F73" s="29" t="s">
        <v>692</v>
      </c>
      <c r="G73" s="29"/>
      <c r="H73" s="35"/>
      <c r="I73" s="29" t="s">
        <v>693</v>
      </c>
      <c r="J73" s="35"/>
      <c r="K73" s="35"/>
      <c r="L73" s="35"/>
      <c r="M73" s="35"/>
      <c r="N73" s="35"/>
      <c r="O73" s="35" t="s">
        <v>1431</v>
      </c>
      <c r="P73" s="35" t="s">
        <v>1430</v>
      </c>
      <c r="Q73" s="35"/>
      <c r="R73" s="35" t="s">
        <v>1752</v>
      </c>
      <c r="S73" s="35"/>
      <c r="T73" s="35"/>
    </row>
    <row r="74" spans="1:20" x14ac:dyDescent="0.35">
      <c r="A74" s="29"/>
      <c r="B74" s="29" t="s">
        <v>1332</v>
      </c>
      <c r="C74" s="35" t="s">
        <v>691</v>
      </c>
      <c r="D74" s="35" t="s">
        <v>691</v>
      </c>
      <c r="E74" s="35" t="s">
        <v>696</v>
      </c>
      <c r="F74" s="29" t="s">
        <v>692</v>
      </c>
      <c r="G74" s="29" t="s">
        <v>192</v>
      </c>
      <c r="H74" s="35" t="s">
        <v>200</v>
      </c>
      <c r="I74" s="29" t="s">
        <v>693</v>
      </c>
      <c r="J74" s="35" t="s">
        <v>700</v>
      </c>
      <c r="K74" s="35" t="s">
        <v>700</v>
      </c>
      <c r="L74" s="35" t="s">
        <v>1679</v>
      </c>
      <c r="M74" s="35"/>
      <c r="N74" s="35"/>
      <c r="O74" s="35" t="s">
        <v>1453</v>
      </c>
      <c r="P74" s="35" t="s">
        <v>1437</v>
      </c>
      <c r="Q74" s="35" t="s">
        <v>1511</v>
      </c>
      <c r="R74" t="s">
        <v>1423</v>
      </c>
      <c r="S74" t="s">
        <v>1840</v>
      </c>
      <c r="T74" s="35"/>
    </row>
    <row r="75" spans="1:20" x14ac:dyDescent="0.35">
      <c r="A75" s="29"/>
      <c r="B75" s="29" t="s">
        <v>1333</v>
      </c>
      <c r="C75" s="35" t="s">
        <v>691</v>
      </c>
      <c r="D75" s="35" t="s">
        <v>691</v>
      </c>
      <c r="E75" s="35" t="s">
        <v>696</v>
      </c>
      <c r="F75" s="29" t="s">
        <v>692</v>
      </c>
      <c r="G75" s="29" t="s">
        <v>192</v>
      </c>
      <c r="H75" s="35" t="s">
        <v>200</v>
      </c>
      <c r="I75" s="29" t="s">
        <v>693</v>
      </c>
      <c r="J75" s="35" t="s">
        <v>700</v>
      </c>
      <c r="K75" s="35" t="s">
        <v>700</v>
      </c>
      <c r="L75" s="35" t="s">
        <v>1679</v>
      </c>
      <c r="M75" s="35"/>
      <c r="N75" s="35"/>
      <c r="O75" s="35" t="s">
        <v>1453</v>
      </c>
      <c r="P75" s="35" t="s">
        <v>1437</v>
      </c>
      <c r="Q75" s="35" t="s">
        <v>1512</v>
      </c>
      <c r="R75" t="s">
        <v>1423</v>
      </c>
      <c r="S75" t="s">
        <v>1840</v>
      </c>
      <c r="T75" s="35"/>
    </row>
    <row r="76" spans="1:20" x14ac:dyDescent="0.35">
      <c r="A76" s="29"/>
      <c r="B76" s="29" t="s">
        <v>1334</v>
      </c>
      <c r="C76" s="35" t="s">
        <v>691</v>
      </c>
      <c r="D76" s="35" t="s">
        <v>691</v>
      </c>
      <c r="E76" s="35" t="s">
        <v>696</v>
      </c>
      <c r="F76" s="29" t="s">
        <v>692</v>
      </c>
      <c r="G76" s="29" t="s">
        <v>192</v>
      </c>
      <c r="H76" s="35" t="s">
        <v>200</v>
      </c>
      <c r="I76" s="29" t="s">
        <v>693</v>
      </c>
      <c r="J76" s="35" t="s">
        <v>700</v>
      </c>
      <c r="K76" s="35" t="s">
        <v>700</v>
      </c>
      <c r="L76" s="35" t="s">
        <v>1679</v>
      </c>
      <c r="M76" s="35"/>
      <c r="N76" s="35"/>
      <c r="O76" s="35" t="s">
        <v>1453</v>
      </c>
      <c r="P76" s="35" t="s">
        <v>1437</v>
      </c>
      <c r="Q76" s="35" t="s">
        <v>1515</v>
      </c>
      <c r="R76" t="s">
        <v>1423</v>
      </c>
      <c r="S76" t="s">
        <v>1840</v>
      </c>
      <c r="T76" s="35"/>
    </row>
    <row r="77" spans="1:20" x14ac:dyDescent="0.35">
      <c r="B77" s="29" t="s">
        <v>1339</v>
      </c>
      <c r="C77" s="35" t="s">
        <v>185</v>
      </c>
      <c r="D77" s="35" t="s">
        <v>691</v>
      </c>
      <c r="E77" s="35"/>
      <c r="F77" s="29" t="s">
        <v>692</v>
      </c>
      <c r="G77" s="29"/>
      <c r="H77" s="35"/>
      <c r="I77" s="29" t="s">
        <v>693</v>
      </c>
      <c r="J77" s="35"/>
      <c r="K77" s="35"/>
      <c r="L77" s="35"/>
      <c r="M77" s="35"/>
      <c r="N77" s="35"/>
      <c r="O77" s="35" t="s">
        <v>1447</v>
      </c>
      <c r="P77" s="35" t="s">
        <v>1437</v>
      </c>
      <c r="Q77" s="35"/>
      <c r="R77" s="35" t="s">
        <v>1753</v>
      </c>
      <c r="S77" s="35"/>
      <c r="T77" s="35"/>
    </row>
    <row r="78" spans="1:20" x14ac:dyDescent="0.35">
      <c r="A78" s="35" t="s">
        <v>694</v>
      </c>
      <c r="B78" s="29" t="s">
        <v>1257</v>
      </c>
      <c r="C78" s="35" t="s">
        <v>185</v>
      </c>
      <c r="D78" s="35" t="s">
        <v>691</v>
      </c>
      <c r="E78" s="35"/>
      <c r="F78" s="29" t="s">
        <v>692</v>
      </c>
      <c r="G78" s="29"/>
      <c r="H78" s="35"/>
      <c r="I78" s="29" t="s">
        <v>693</v>
      </c>
      <c r="J78" s="35"/>
      <c r="K78" s="35"/>
      <c r="L78" s="35"/>
      <c r="M78" s="35"/>
      <c r="N78" s="35"/>
      <c r="O78" s="35" t="s">
        <v>1454</v>
      </c>
      <c r="P78" s="35" t="s">
        <v>1430</v>
      </c>
      <c r="Q78" s="35"/>
      <c r="R78" s="35" t="s">
        <v>1753</v>
      </c>
      <c r="S78" s="35"/>
      <c r="T78" s="35"/>
    </row>
    <row r="79" spans="1:20" x14ac:dyDescent="0.35">
      <c r="A79" s="35" t="s">
        <v>744</v>
      </c>
      <c r="B79" s="29" t="s">
        <v>1345</v>
      </c>
      <c r="C79" s="35" t="s">
        <v>185</v>
      </c>
      <c r="D79" s="35" t="s">
        <v>691</v>
      </c>
      <c r="E79" s="35"/>
      <c r="F79" s="29" t="s">
        <v>692</v>
      </c>
      <c r="G79" s="29"/>
      <c r="H79" s="35"/>
      <c r="I79" s="29" t="s">
        <v>693</v>
      </c>
      <c r="J79" s="35"/>
      <c r="K79" s="35"/>
      <c r="L79" s="35"/>
      <c r="M79" s="35"/>
      <c r="N79" s="35"/>
      <c r="O79" s="35" t="s">
        <v>1431</v>
      </c>
      <c r="P79" s="35" t="s">
        <v>1432</v>
      </c>
      <c r="Q79" s="35"/>
      <c r="R79" s="35" t="s">
        <v>1752</v>
      </c>
      <c r="S79" s="35"/>
      <c r="T79" s="35"/>
    </row>
    <row r="80" spans="1:20" x14ac:dyDescent="0.35">
      <c r="A80" s="35" t="s">
        <v>699</v>
      </c>
      <c r="B80" s="29" t="s">
        <v>1263</v>
      </c>
      <c r="C80" s="35" t="s">
        <v>185</v>
      </c>
      <c r="D80" s="35" t="s">
        <v>691</v>
      </c>
      <c r="E80" s="35"/>
      <c r="F80" s="29" t="s">
        <v>692</v>
      </c>
      <c r="G80" s="29"/>
      <c r="H80" s="35"/>
      <c r="I80" s="29" t="s">
        <v>693</v>
      </c>
      <c r="J80" s="35"/>
      <c r="K80" s="35"/>
      <c r="L80" s="35"/>
      <c r="M80" s="35"/>
      <c r="N80" s="35"/>
      <c r="O80" s="35" t="s">
        <v>1429</v>
      </c>
      <c r="P80" s="35" t="s">
        <v>1430</v>
      </c>
      <c r="Q80" s="35"/>
      <c r="R80" s="35" t="s">
        <v>1753</v>
      </c>
      <c r="S80" s="35"/>
      <c r="T80" s="35"/>
    </row>
    <row r="81" spans="1:20" x14ac:dyDescent="0.35">
      <c r="B81" s="29" t="s">
        <v>1329</v>
      </c>
      <c r="C81" s="35" t="s">
        <v>185</v>
      </c>
      <c r="D81" s="35" t="s">
        <v>691</v>
      </c>
      <c r="E81" s="35"/>
      <c r="F81" s="29" t="s">
        <v>692</v>
      </c>
      <c r="G81" s="29"/>
      <c r="H81" s="35"/>
      <c r="I81" s="29" t="s">
        <v>693</v>
      </c>
      <c r="J81" s="35"/>
      <c r="K81" s="35"/>
      <c r="L81" s="35"/>
      <c r="M81" s="35"/>
      <c r="N81" s="35"/>
      <c r="O81" s="35" t="s">
        <v>1447</v>
      </c>
      <c r="P81" s="35" t="s">
        <v>1437</v>
      </c>
      <c r="Q81" s="35"/>
      <c r="R81" s="35" t="s">
        <v>1753</v>
      </c>
      <c r="S81" s="35"/>
      <c r="T81" s="35"/>
    </row>
    <row r="82" spans="1:20" x14ac:dyDescent="0.35">
      <c r="A82" s="35" t="s">
        <v>703</v>
      </c>
      <c r="B82" s="29" t="s">
        <v>1272</v>
      </c>
      <c r="C82" s="35" t="s">
        <v>185</v>
      </c>
      <c r="D82" s="35" t="s">
        <v>691</v>
      </c>
      <c r="E82" s="35"/>
      <c r="F82" s="29" t="s">
        <v>692</v>
      </c>
      <c r="G82" s="29"/>
      <c r="H82" s="35"/>
      <c r="I82" s="29" t="s">
        <v>693</v>
      </c>
      <c r="J82" s="35"/>
      <c r="K82" s="35"/>
      <c r="L82" s="35"/>
      <c r="M82" s="35"/>
      <c r="N82" s="35"/>
      <c r="O82" s="35" t="s">
        <v>1455</v>
      </c>
      <c r="P82" s="35" t="s">
        <v>1430</v>
      </c>
      <c r="Q82" s="35"/>
      <c r="R82" s="35" t="s">
        <v>1753</v>
      </c>
      <c r="S82" s="35"/>
      <c r="T82" s="35"/>
    </row>
    <row r="83" spans="1:20" x14ac:dyDescent="0.35">
      <c r="B83" s="29" t="s">
        <v>1346</v>
      </c>
      <c r="C83" s="35" t="s">
        <v>691</v>
      </c>
      <c r="D83" s="35" t="s">
        <v>691</v>
      </c>
      <c r="E83" s="35" t="s">
        <v>696</v>
      </c>
      <c r="F83" s="29" t="s">
        <v>692</v>
      </c>
      <c r="G83" s="29" t="s">
        <v>192</v>
      </c>
      <c r="H83" s="35" t="s">
        <v>200</v>
      </c>
      <c r="I83" s="29" t="s">
        <v>693</v>
      </c>
      <c r="J83" s="35" t="s">
        <v>745</v>
      </c>
      <c r="K83" s="35" t="s">
        <v>746</v>
      </c>
      <c r="L83" s="35" t="s">
        <v>1192</v>
      </c>
      <c r="M83" s="35"/>
      <c r="N83" s="35"/>
      <c r="O83" s="35" t="s">
        <v>1241</v>
      </c>
      <c r="P83" s="35" t="s">
        <v>1432</v>
      </c>
      <c r="Q83" s="35" t="s">
        <v>213</v>
      </c>
      <c r="R83" t="s">
        <v>1241</v>
      </c>
      <c r="S83" t="s">
        <v>1841</v>
      </c>
      <c r="T83" s="35"/>
    </row>
    <row r="84" spans="1:20" x14ac:dyDescent="0.35">
      <c r="B84" s="29" t="s">
        <v>1347</v>
      </c>
      <c r="C84" s="35" t="s">
        <v>691</v>
      </c>
      <c r="D84" s="35" t="s">
        <v>691</v>
      </c>
      <c r="E84" s="35" t="s">
        <v>696</v>
      </c>
      <c r="F84" s="29" t="s">
        <v>692</v>
      </c>
      <c r="G84" s="29" t="s">
        <v>192</v>
      </c>
      <c r="H84" s="35" t="s">
        <v>200</v>
      </c>
      <c r="I84" s="29" t="s">
        <v>693</v>
      </c>
      <c r="J84" s="29" t="s">
        <v>745</v>
      </c>
      <c r="K84" s="29" t="s">
        <v>746</v>
      </c>
      <c r="L84" s="29" t="s">
        <v>1192</v>
      </c>
      <c r="M84" s="29"/>
      <c r="N84" s="29"/>
      <c r="O84" s="29" t="s">
        <v>1241</v>
      </c>
      <c r="P84" s="29" t="s">
        <v>1432</v>
      </c>
      <c r="Q84" s="29" t="s">
        <v>1513</v>
      </c>
      <c r="R84" t="s">
        <v>1241</v>
      </c>
      <c r="S84" t="s">
        <v>1841</v>
      </c>
      <c r="T84" s="35"/>
    </row>
    <row r="85" spans="1:20" x14ac:dyDescent="0.35">
      <c r="B85" s="29" t="s">
        <v>1348</v>
      </c>
      <c r="C85" s="35" t="s">
        <v>691</v>
      </c>
      <c r="D85" s="35" t="s">
        <v>691</v>
      </c>
      <c r="E85" s="35" t="s">
        <v>696</v>
      </c>
      <c r="F85" s="29" t="s">
        <v>692</v>
      </c>
      <c r="G85" s="29" t="s">
        <v>192</v>
      </c>
      <c r="H85" s="35" t="s">
        <v>200</v>
      </c>
      <c r="I85" s="29" t="s">
        <v>693</v>
      </c>
      <c r="J85" s="29" t="s">
        <v>745</v>
      </c>
      <c r="K85" s="29" t="s">
        <v>746</v>
      </c>
      <c r="L85" s="29" t="s">
        <v>1192</v>
      </c>
      <c r="M85" s="29"/>
      <c r="N85" s="29"/>
      <c r="O85" s="29" t="s">
        <v>1241</v>
      </c>
      <c r="P85" s="29" t="s">
        <v>1432</v>
      </c>
      <c r="Q85" s="29" t="s">
        <v>1514</v>
      </c>
      <c r="R85" t="s">
        <v>1241</v>
      </c>
      <c r="S85" t="s">
        <v>1841</v>
      </c>
      <c r="T85" s="35"/>
    </row>
    <row r="86" spans="1:20" x14ac:dyDescent="0.35">
      <c r="B86" s="29" t="s">
        <v>1349</v>
      </c>
      <c r="C86" s="35" t="s">
        <v>691</v>
      </c>
      <c r="D86" s="35" t="s">
        <v>691</v>
      </c>
      <c r="E86" s="35" t="s">
        <v>696</v>
      </c>
      <c r="F86" s="29" t="s">
        <v>692</v>
      </c>
      <c r="G86" s="29" t="s">
        <v>192</v>
      </c>
      <c r="H86" s="35" t="s">
        <v>200</v>
      </c>
      <c r="I86" s="29" t="s">
        <v>693</v>
      </c>
      <c r="J86" s="29" t="s">
        <v>745</v>
      </c>
      <c r="K86" s="29" t="s">
        <v>746</v>
      </c>
      <c r="L86" s="29" t="s">
        <v>1192</v>
      </c>
      <c r="M86" s="29"/>
      <c r="N86" s="29"/>
      <c r="O86" s="29" t="s">
        <v>1241</v>
      </c>
      <c r="P86" s="29" t="s">
        <v>1432</v>
      </c>
      <c r="Q86" s="29" t="s">
        <v>1510</v>
      </c>
      <c r="R86" t="s">
        <v>1241</v>
      </c>
      <c r="S86" t="s">
        <v>1841</v>
      </c>
      <c r="T86" s="35"/>
    </row>
    <row r="87" spans="1:20" x14ac:dyDescent="0.35">
      <c r="A87" s="29"/>
      <c r="B87" s="29" t="s">
        <v>1642</v>
      </c>
      <c r="C87" s="35" t="s">
        <v>691</v>
      </c>
      <c r="D87" s="35" t="s">
        <v>691</v>
      </c>
      <c r="E87" s="35" t="s">
        <v>696</v>
      </c>
      <c r="F87" s="29" t="s">
        <v>692</v>
      </c>
      <c r="G87" s="29" t="s">
        <v>192</v>
      </c>
      <c r="H87" s="35" t="s">
        <v>200</v>
      </c>
      <c r="I87" s="29" t="s">
        <v>693</v>
      </c>
      <c r="J87" s="29" t="s">
        <v>747</v>
      </c>
      <c r="K87" s="29" t="s">
        <v>746</v>
      </c>
      <c r="L87" s="29" t="s">
        <v>1681</v>
      </c>
      <c r="M87" s="29"/>
      <c r="N87" s="29"/>
      <c r="O87" s="29" t="s">
        <v>1242</v>
      </c>
      <c r="P87" s="29" t="s">
        <v>1432</v>
      </c>
      <c r="Q87" s="29" t="s">
        <v>213</v>
      </c>
      <c r="R87" t="s">
        <v>1641</v>
      </c>
      <c r="S87" t="s">
        <v>1842</v>
      </c>
      <c r="T87" s="35"/>
    </row>
    <row r="88" spans="1:20" x14ac:dyDescent="0.35">
      <c r="A88" s="29"/>
      <c r="B88" s="29" t="s">
        <v>1643</v>
      </c>
      <c r="C88" s="35" t="s">
        <v>691</v>
      </c>
      <c r="D88" s="35" t="s">
        <v>691</v>
      </c>
      <c r="E88" s="35" t="s">
        <v>696</v>
      </c>
      <c r="F88" s="29" t="s">
        <v>692</v>
      </c>
      <c r="G88" s="29" t="s">
        <v>192</v>
      </c>
      <c r="H88" s="35" t="s">
        <v>200</v>
      </c>
      <c r="I88" s="29" t="s">
        <v>693</v>
      </c>
      <c r="J88" s="29" t="s">
        <v>747</v>
      </c>
      <c r="K88" s="29" t="s">
        <v>746</v>
      </c>
      <c r="L88" s="29" t="s">
        <v>1681</v>
      </c>
      <c r="M88" s="29"/>
      <c r="N88" s="29"/>
      <c r="O88" s="29" t="s">
        <v>1242</v>
      </c>
      <c r="P88" s="29" t="s">
        <v>1432</v>
      </c>
      <c r="Q88" s="29" t="s">
        <v>1513</v>
      </c>
      <c r="R88" t="s">
        <v>1641</v>
      </c>
      <c r="S88" t="s">
        <v>1842</v>
      </c>
      <c r="T88" s="35"/>
    </row>
    <row r="89" spans="1:20" x14ac:dyDescent="0.35">
      <c r="B89" s="29" t="s">
        <v>1644</v>
      </c>
      <c r="C89" s="35" t="s">
        <v>691</v>
      </c>
      <c r="D89" s="35" t="s">
        <v>691</v>
      </c>
      <c r="E89" s="35" t="s">
        <v>696</v>
      </c>
      <c r="F89" s="29" t="s">
        <v>692</v>
      </c>
      <c r="G89" s="29" t="s">
        <v>192</v>
      </c>
      <c r="H89" s="35" t="s">
        <v>200</v>
      </c>
      <c r="I89" s="29" t="s">
        <v>693</v>
      </c>
      <c r="J89" s="29" t="s">
        <v>747</v>
      </c>
      <c r="K89" s="29" t="s">
        <v>746</v>
      </c>
      <c r="L89" s="29" t="s">
        <v>1681</v>
      </c>
      <c r="M89" s="29"/>
      <c r="N89" s="29"/>
      <c r="O89" s="29" t="s">
        <v>1242</v>
      </c>
      <c r="P89" s="29" t="s">
        <v>1432</v>
      </c>
      <c r="Q89" s="29" t="s">
        <v>1514</v>
      </c>
      <c r="R89" t="s">
        <v>1641</v>
      </c>
      <c r="S89" t="s">
        <v>1842</v>
      </c>
      <c r="T89" s="35"/>
    </row>
    <row r="90" spans="1:20" x14ac:dyDescent="0.35">
      <c r="A90" s="29"/>
      <c r="B90" s="29" t="s">
        <v>1647</v>
      </c>
      <c r="C90" s="35" t="s">
        <v>691</v>
      </c>
      <c r="D90" s="35" t="s">
        <v>691</v>
      </c>
      <c r="E90" s="35" t="s">
        <v>696</v>
      </c>
      <c r="F90" s="29" t="s">
        <v>692</v>
      </c>
      <c r="G90" s="29" t="s">
        <v>192</v>
      </c>
      <c r="H90" s="35" t="s">
        <v>200</v>
      </c>
      <c r="I90" s="29" t="s">
        <v>693</v>
      </c>
      <c r="J90" s="29" t="s">
        <v>747</v>
      </c>
      <c r="K90" s="29" t="s">
        <v>746</v>
      </c>
      <c r="L90" s="29" t="s">
        <v>1681</v>
      </c>
      <c r="M90" s="29"/>
      <c r="N90" s="29"/>
      <c r="O90" s="29" t="s">
        <v>1242</v>
      </c>
      <c r="P90" s="29" t="s">
        <v>1432</v>
      </c>
      <c r="Q90" s="29" t="s">
        <v>1510</v>
      </c>
      <c r="R90" t="s">
        <v>1641</v>
      </c>
      <c r="S90" t="s">
        <v>1842</v>
      </c>
      <c r="T90" s="35"/>
    </row>
    <row r="91" spans="1:20" x14ac:dyDescent="0.35">
      <c r="A91" s="29"/>
      <c r="B91" s="29" t="s">
        <v>1648</v>
      </c>
      <c r="C91" s="35" t="s">
        <v>691</v>
      </c>
      <c r="D91" s="35" t="s">
        <v>691</v>
      </c>
      <c r="E91" s="35" t="s">
        <v>696</v>
      </c>
      <c r="F91" s="29" t="s">
        <v>692</v>
      </c>
      <c r="G91" s="29" t="s">
        <v>192</v>
      </c>
      <c r="H91" s="35" t="s">
        <v>200</v>
      </c>
      <c r="I91" s="29" t="s">
        <v>693</v>
      </c>
      <c r="J91" s="29" t="s">
        <v>747</v>
      </c>
      <c r="K91" s="29" t="s">
        <v>746</v>
      </c>
      <c r="L91" s="29" t="s">
        <v>1681</v>
      </c>
      <c r="M91" s="29"/>
      <c r="N91" s="29"/>
      <c r="O91" s="29" t="s">
        <v>1242</v>
      </c>
      <c r="P91" s="29" t="s">
        <v>1432</v>
      </c>
      <c r="Q91" s="29" t="s">
        <v>1516</v>
      </c>
      <c r="R91" t="s">
        <v>1641</v>
      </c>
      <c r="S91" t="s">
        <v>1842</v>
      </c>
      <c r="T91" s="35"/>
    </row>
    <row r="92" spans="1:20" x14ac:dyDescent="0.35">
      <c r="A92" s="29"/>
      <c r="B92" s="29" t="s">
        <v>1638</v>
      </c>
      <c r="C92" s="35" t="s">
        <v>691</v>
      </c>
      <c r="D92" s="35" t="s">
        <v>691</v>
      </c>
      <c r="E92" s="35" t="s">
        <v>696</v>
      </c>
      <c r="F92" s="29" t="s">
        <v>692</v>
      </c>
      <c r="G92" s="29" t="s">
        <v>192</v>
      </c>
      <c r="H92" s="35" t="s">
        <v>200</v>
      </c>
      <c r="I92" s="29" t="s">
        <v>693</v>
      </c>
      <c r="J92" s="29" t="s">
        <v>747</v>
      </c>
      <c r="K92" s="29" t="s">
        <v>746</v>
      </c>
      <c r="L92" s="29" t="s">
        <v>1682</v>
      </c>
      <c r="M92" s="29"/>
      <c r="N92" s="29"/>
      <c r="O92" s="29" t="s">
        <v>1242</v>
      </c>
      <c r="P92" s="29" t="s">
        <v>1432</v>
      </c>
      <c r="Q92" s="29" t="s">
        <v>213</v>
      </c>
      <c r="R92" t="s">
        <v>1680</v>
      </c>
      <c r="S92" t="s">
        <v>1843</v>
      </c>
      <c r="T92" s="35"/>
    </row>
    <row r="93" spans="1:20" x14ac:dyDescent="0.35">
      <c r="A93" s="29"/>
      <c r="B93" s="29" t="s">
        <v>1639</v>
      </c>
      <c r="C93" s="35" t="s">
        <v>691</v>
      </c>
      <c r="D93" s="35" t="s">
        <v>691</v>
      </c>
      <c r="E93" s="35" t="s">
        <v>696</v>
      </c>
      <c r="F93" s="29" t="s">
        <v>692</v>
      </c>
      <c r="G93" s="29" t="s">
        <v>192</v>
      </c>
      <c r="H93" s="35" t="s">
        <v>200</v>
      </c>
      <c r="I93" s="29" t="s">
        <v>693</v>
      </c>
      <c r="J93" s="29" t="s">
        <v>747</v>
      </c>
      <c r="K93" s="29" t="s">
        <v>746</v>
      </c>
      <c r="L93" s="29" t="s">
        <v>1682</v>
      </c>
      <c r="M93" s="29"/>
      <c r="N93" s="29"/>
      <c r="O93" s="29" t="s">
        <v>1242</v>
      </c>
      <c r="P93" s="29" t="s">
        <v>1432</v>
      </c>
      <c r="Q93" s="29" t="s">
        <v>1513</v>
      </c>
      <c r="R93" t="s">
        <v>1680</v>
      </c>
      <c r="S93" t="s">
        <v>1843</v>
      </c>
      <c r="T93" s="35"/>
    </row>
    <row r="94" spans="1:20" x14ac:dyDescent="0.35">
      <c r="B94" s="29" t="s">
        <v>1640</v>
      </c>
      <c r="C94" s="35" t="s">
        <v>691</v>
      </c>
      <c r="D94" s="35" t="s">
        <v>691</v>
      </c>
      <c r="E94" s="35" t="s">
        <v>696</v>
      </c>
      <c r="F94" s="29" t="s">
        <v>692</v>
      </c>
      <c r="G94" s="29" t="s">
        <v>192</v>
      </c>
      <c r="H94" s="35" t="s">
        <v>200</v>
      </c>
      <c r="I94" s="29" t="s">
        <v>693</v>
      </c>
      <c r="J94" s="29" t="s">
        <v>747</v>
      </c>
      <c r="K94" s="29" t="s">
        <v>746</v>
      </c>
      <c r="L94" s="29" t="s">
        <v>1682</v>
      </c>
      <c r="M94" s="29"/>
      <c r="N94" s="29"/>
      <c r="O94" s="29" t="s">
        <v>1242</v>
      </c>
      <c r="P94" s="29" t="s">
        <v>1432</v>
      </c>
      <c r="Q94" s="29" t="s">
        <v>1514</v>
      </c>
      <c r="R94" t="s">
        <v>1680</v>
      </c>
      <c r="S94" t="s">
        <v>1843</v>
      </c>
      <c r="T94" s="35"/>
    </row>
    <row r="95" spans="1:20" x14ac:dyDescent="0.35">
      <c r="A95" s="29"/>
      <c r="B95" s="29" t="s">
        <v>1645</v>
      </c>
      <c r="C95" s="35" t="s">
        <v>691</v>
      </c>
      <c r="D95" s="35" t="s">
        <v>691</v>
      </c>
      <c r="E95" s="35" t="s">
        <v>696</v>
      </c>
      <c r="F95" s="29" t="s">
        <v>692</v>
      </c>
      <c r="G95" s="29" t="s">
        <v>192</v>
      </c>
      <c r="H95" s="35" t="s">
        <v>200</v>
      </c>
      <c r="I95" s="29" t="s">
        <v>693</v>
      </c>
      <c r="J95" s="29" t="s">
        <v>747</v>
      </c>
      <c r="K95" s="29" t="s">
        <v>746</v>
      </c>
      <c r="L95" s="29" t="s">
        <v>1682</v>
      </c>
      <c r="M95" s="29"/>
      <c r="N95" s="29"/>
      <c r="O95" s="29" t="s">
        <v>1242</v>
      </c>
      <c r="P95" s="29" t="s">
        <v>1432</v>
      </c>
      <c r="Q95" s="29" t="s">
        <v>1510</v>
      </c>
      <c r="R95" t="s">
        <v>1680</v>
      </c>
      <c r="S95" t="s">
        <v>1843</v>
      </c>
      <c r="T95" s="35"/>
    </row>
    <row r="96" spans="1:20" x14ac:dyDescent="0.35">
      <c r="A96" s="29"/>
      <c r="B96" s="29" t="s">
        <v>1646</v>
      </c>
      <c r="C96" s="35" t="s">
        <v>691</v>
      </c>
      <c r="D96" s="35" t="s">
        <v>691</v>
      </c>
      <c r="E96" s="35" t="s">
        <v>696</v>
      </c>
      <c r="F96" s="29" t="s">
        <v>692</v>
      </c>
      <c r="G96" s="29" t="s">
        <v>192</v>
      </c>
      <c r="H96" s="35" t="s">
        <v>200</v>
      </c>
      <c r="I96" s="29" t="s">
        <v>693</v>
      </c>
      <c r="J96" s="29" t="s">
        <v>747</v>
      </c>
      <c r="K96" s="29" t="s">
        <v>746</v>
      </c>
      <c r="L96" s="29" t="s">
        <v>1682</v>
      </c>
      <c r="M96" s="29"/>
      <c r="N96" s="29"/>
      <c r="O96" s="29" t="s">
        <v>1242</v>
      </c>
      <c r="P96" s="29" t="s">
        <v>1432</v>
      </c>
      <c r="Q96" s="29" t="s">
        <v>1516</v>
      </c>
      <c r="R96" t="s">
        <v>1680</v>
      </c>
      <c r="S96" t="s">
        <v>1843</v>
      </c>
      <c r="T96" s="35"/>
    </row>
    <row r="97" spans="1:20" x14ac:dyDescent="0.35">
      <c r="A97" s="35" t="s">
        <v>738</v>
      </c>
      <c r="B97" s="29" t="s">
        <v>1328</v>
      </c>
      <c r="C97" s="35" t="s">
        <v>185</v>
      </c>
      <c r="D97" s="35" t="s">
        <v>691</v>
      </c>
      <c r="E97" s="35"/>
      <c r="F97" s="29" t="s">
        <v>692</v>
      </c>
      <c r="G97" s="29"/>
      <c r="H97" s="35"/>
      <c r="I97" s="29" t="s">
        <v>693</v>
      </c>
      <c r="J97" s="35"/>
      <c r="K97" s="35"/>
      <c r="L97" s="35"/>
      <c r="M97" s="35"/>
      <c r="N97" s="35"/>
      <c r="O97" s="35" t="s">
        <v>1429</v>
      </c>
      <c r="P97" s="35" t="s">
        <v>1430</v>
      </c>
      <c r="Q97" s="35"/>
      <c r="R97" s="35" t="s">
        <v>1753</v>
      </c>
      <c r="S97" s="35"/>
      <c r="T97" s="35"/>
    </row>
    <row r="98" spans="1:20" s="204" customFormat="1" x14ac:dyDescent="0.35">
      <c r="A98" s="36" t="s">
        <v>26</v>
      </c>
      <c r="B98" s="34" t="s">
        <v>1335</v>
      </c>
      <c r="C98" s="36" t="s">
        <v>691</v>
      </c>
      <c r="D98" s="36" t="s">
        <v>691</v>
      </c>
      <c r="E98" s="36" t="s">
        <v>696</v>
      </c>
      <c r="F98" s="34" t="s">
        <v>692</v>
      </c>
      <c r="G98" s="34" t="s">
        <v>192</v>
      </c>
      <c r="H98" s="36" t="s">
        <v>200</v>
      </c>
      <c r="I98" s="34" t="s">
        <v>693</v>
      </c>
      <c r="J98" s="36" t="s">
        <v>700</v>
      </c>
      <c r="K98" s="36"/>
      <c r="L98" s="36" t="s">
        <v>1679</v>
      </c>
      <c r="M98" s="36"/>
      <c r="N98" s="36"/>
      <c r="O98" s="36" t="s">
        <v>1453</v>
      </c>
      <c r="P98" s="36" t="s">
        <v>1437</v>
      </c>
      <c r="Q98" s="36" t="s">
        <v>1736</v>
      </c>
      <c r="R98" t="s">
        <v>1423</v>
      </c>
      <c r="S98" t="s">
        <v>1840</v>
      </c>
      <c r="T98" s="36"/>
    </row>
    <row r="99" spans="1:20" x14ac:dyDescent="0.35">
      <c r="A99" s="35" t="s">
        <v>728</v>
      </c>
      <c r="B99" s="29" t="s">
        <v>1319</v>
      </c>
      <c r="C99" s="35" t="s">
        <v>185</v>
      </c>
      <c r="D99" s="35" t="s">
        <v>691</v>
      </c>
      <c r="E99" s="35"/>
      <c r="F99" s="29" t="s">
        <v>692</v>
      </c>
      <c r="G99" s="29"/>
      <c r="H99" s="35"/>
      <c r="I99" s="29" t="s">
        <v>693</v>
      </c>
      <c r="J99" s="35"/>
      <c r="K99" s="35"/>
      <c r="L99" s="35"/>
      <c r="M99" s="35"/>
      <c r="N99" s="35"/>
      <c r="O99" s="35" t="s">
        <v>1456</v>
      </c>
      <c r="P99" s="35" t="s">
        <v>1430</v>
      </c>
      <c r="Q99" s="35"/>
      <c r="R99" s="35" t="s">
        <v>1753</v>
      </c>
      <c r="S99" s="35"/>
      <c r="T99" s="35"/>
    </row>
    <row r="100" spans="1:20" x14ac:dyDescent="0.35">
      <c r="B100" s="29" t="s">
        <v>1340</v>
      </c>
      <c r="C100" s="35" t="s">
        <v>691</v>
      </c>
      <c r="D100" s="35"/>
      <c r="E100" s="35" t="s">
        <v>701</v>
      </c>
      <c r="F100" s="29" t="s">
        <v>692</v>
      </c>
      <c r="G100" s="29" t="s">
        <v>197</v>
      </c>
      <c r="H100" s="35"/>
      <c r="J100" s="35" t="s">
        <v>697</v>
      </c>
      <c r="K100" s="35"/>
      <c r="L100" s="35"/>
      <c r="M100" s="35"/>
      <c r="N100" s="35"/>
      <c r="O100" s="35" t="s">
        <v>1457</v>
      </c>
      <c r="P100" s="35" t="s">
        <v>1443</v>
      </c>
      <c r="Q100" s="35"/>
      <c r="R100" t="s">
        <v>1246</v>
      </c>
      <c r="T100" s="35"/>
    </row>
    <row r="101" spans="1:20" x14ac:dyDescent="0.35">
      <c r="B101" s="29" t="s">
        <v>1341</v>
      </c>
      <c r="C101" s="35" t="s">
        <v>691</v>
      </c>
      <c r="D101" s="35"/>
      <c r="E101" s="35" t="s">
        <v>701</v>
      </c>
      <c r="F101" s="29" t="s">
        <v>692</v>
      </c>
      <c r="G101" s="29" t="s">
        <v>196</v>
      </c>
      <c r="H101" s="35" t="s">
        <v>200</v>
      </c>
      <c r="J101" s="35" t="s">
        <v>697</v>
      </c>
      <c r="K101" s="35" t="s">
        <v>697</v>
      </c>
      <c r="L101" s="35"/>
      <c r="M101" s="35"/>
      <c r="N101" s="35"/>
      <c r="O101" s="35" t="s">
        <v>1457</v>
      </c>
      <c r="P101" s="35" t="s">
        <v>1443</v>
      </c>
      <c r="Q101" s="35"/>
      <c r="R101" s="35"/>
      <c r="S101" s="35"/>
      <c r="T101" s="35"/>
    </row>
    <row r="102" spans="1:20" x14ac:dyDescent="0.35">
      <c r="B102" s="29" t="s">
        <v>1247</v>
      </c>
      <c r="C102" s="35" t="s">
        <v>691</v>
      </c>
      <c r="D102" s="35" t="s">
        <v>185</v>
      </c>
      <c r="E102" s="35" t="s">
        <v>701</v>
      </c>
      <c r="F102" s="29" t="s">
        <v>692</v>
      </c>
      <c r="G102" s="29" t="s">
        <v>195</v>
      </c>
      <c r="H102" s="35" t="s">
        <v>200</v>
      </c>
      <c r="J102" s="35" t="s">
        <v>697</v>
      </c>
      <c r="K102" s="35" t="s">
        <v>697</v>
      </c>
      <c r="L102" s="35" t="s">
        <v>1602</v>
      </c>
      <c r="M102" s="35" t="s">
        <v>1602</v>
      </c>
      <c r="N102" s="35"/>
      <c r="O102" s="35" t="s">
        <v>1457</v>
      </c>
      <c r="P102" s="35" t="s">
        <v>1443</v>
      </c>
      <c r="Q102" s="35" t="s">
        <v>1746</v>
      </c>
      <c r="R102" s="35"/>
      <c r="S102" s="35" t="s">
        <v>1838</v>
      </c>
      <c r="T102" s="35"/>
    </row>
    <row r="103" spans="1:20" x14ac:dyDescent="0.35">
      <c r="B103" s="29" t="s">
        <v>1248</v>
      </c>
      <c r="C103" s="35" t="s">
        <v>691</v>
      </c>
      <c r="D103" s="35" t="s">
        <v>185</v>
      </c>
      <c r="E103" s="35" t="s">
        <v>701</v>
      </c>
      <c r="F103" s="29" t="s">
        <v>692</v>
      </c>
      <c r="G103" s="29" t="s">
        <v>195</v>
      </c>
      <c r="H103" s="35" t="s">
        <v>200</v>
      </c>
      <c r="J103" s="35" t="s">
        <v>697</v>
      </c>
      <c r="K103" s="35" t="s">
        <v>697</v>
      </c>
      <c r="L103" s="35" t="s">
        <v>1760</v>
      </c>
      <c r="M103" s="35"/>
      <c r="N103" s="35"/>
      <c r="O103" s="35" t="s">
        <v>1457</v>
      </c>
      <c r="P103" s="35" t="s">
        <v>1443</v>
      </c>
      <c r="Q103" s="35" t="s">
        <v>1832</v>
      </c>
      <c r="R103" s="35"/>
      <c r="S103" t="s">
        <v>1378</v>
      </c>
      <c r="T103" t="s">
        <v>741</v>
      </c>
    </row>
    <row r="104" spans="1:20" x14ac:dyDescent="0.35">
      <c r="B104" s="29" t="s">
        <v>1249</v>
      </c>
      <c r="C104" s="35" t="s">
        <v>691</v>
      </c>
      <c r="D104" s="35" t="s">
        <v>185</v>
      </c>
      <c r="E104" s="35" t="s">
        <v>701</v>
      </c>
      <c r="F104" s="29" t="s">
        <v>692</v>
      </c>
      <c r="G104" s="29" t="s">
        <v>195</v>
      </c>
      <c r="H104" s="35" t="s">
        <v>200</v>
      </c>
      <c r="J104" s="35" t="s">
        <v>697</v>
      </c>
      <c r="K104" s="35" t="s">
        <v>697</v>
      </c>
      <c r="L104" s="35" t="s">
        <v>1602</v>
      </c>
      <c r="M104" s="35" t="s">
        <v>1602</v>
      </c>
      <c r="N104" s="35"/>
      <c r="O104" s="35" t="s">
        <v>1457</v>
      </c>
      <c r="P104" s="35" t="s">
        <v>1443</v>
      </c>
      <c r="Q104" s="35" t="s">
        <v>1747</v>
      </c>
      <c r="R104" s="35"/>
      <c r="S104" s="35" t="s">
        <v>1838</v>
      </c>
    </row>
    <row r="105" spans="1:20" x14ac:dyDescent="0.35">
      <c r="B105" s="29" t="s">
        <v>1300</v>
      </c>
      <c r="C105" s="35" t="s">
        <v>691</v>
      </c>
      <c r="D105" s="35" t="s">
        <v>691</v>
      </c>
      <c r="E105" s="35" t="s">
        <v>696</v>
      </c>
      <c r="F105" s="29" t="s">
        <v>692</v>
      </c>
      <c r="G105" s="29" t="s">
        <v>192</v>
      </c>
      <c r="H105" s="35" t="s">
        <v>200</v>
      </c>
      <c r="I105" s="29" t="s">
        <v>693</v>
      </c>
      <c r="J105" s="29" t="s">
        <v>725</v>
      </c>
      <c r="K105" s="29" t="s">
        <v>725</v>
      </c>
      <c r="L105" s="29"/>
      <c r="M105" s="29"/>
      <c r="N105" s="29"/>
      <c r="O105" s="29" t="s">
        <v>1458</v>
      </c>
      <c r="P105" s="29" t="s">
        <v>1459</v>
      </c>
      <c r="Q105" s="29" t="s">
        <v>1748</v>
      </c>
      <c r="R105" t="s">
        <v>1756</v>
      </c>
      <c r="S105" t="s">
        <v>1411</v>
      </c>
      <c r="T105" s="35"/>
    </row>
    <row r="106" spans="1:20" x14ac:dyDescent="0.35">
      <c r="B106" s="29" t="s">
        <v>1302</v>
      </c>
      <c r="C106" s="35" t="s">
        <v>691</v>
      </c>
      <c r="D106" s="35" t="s">
        <v>691</v>
      </c>
      <c r="E106" s="35" t="s">
        <v>696</v>
      </c>
      <c r="F106" s="29" t="s">
        <v>692</v>
      </c>
      <c r="G106" s="29" t="s">
        <v>192</v>
      </c>
      <c r="H106" s="35" t="s">
        <v>200</v>
      </c>
      <c r="I106" s="29" t="s">
        <v>693</v>
      </c>
      <c r="J106" s="29" t="s">
        <v>725</v>
      </c>
      <c r="K106" s="29" t="s">
        <v>725</v>
      </c>
      <c r="L106" s="29"/>
      <c r="M106" s="29"/>
      <c r="N106" s="29"/>
      <c r="O106" s="29" t="s">
        <v>1458</v>
      </c>
      <c r="P106" s="29" t="s">
        <v>1430</v>
      </c>
      <c r="Q106" s="29" t="s">
        <v>1748</v>
      </c>
      <c r="R106" t="s">
        <v>1250</v>
      </c>
      <c r="S106" t="s">
        <v>1844</v>
      </c>
      <c r="T106" t="s">
        <v>727</v>
      </c>
    </row>
    <row r="107" spans="1:20" x14ac:dyDescent="0.35">
      <c r="B107" s="29" t="s">
        <v>1301</v>
      </c>
      <c r="C107" s="35" t="s">
        <v>691</v>
      </c>
      <c r="D107" s="35" t="s">
        <v>691</v>
      </c>
      <c r="E107" s="35" t="s">
        <v>696</v>
      </c>
      <c r="F107" s="29" t="s">
        <v>692</v>
      </c>
      <c r="G107" s="29" t="s">
        <v>192</v>
      </c>
      <c r="H107" s="35" t="s">
        <v>200</v>
      </c>
      <c r="I107" s="29" t="s">
        <v>693</v>
      </c>
      <c r="J107" s="29" t="s">
        <v>725</v>
      </c>
      <c r="K107" s="29" t="s">
        <v>725</v>
      </c>
      <c r="L107" s="29"/>
      <c r="M107" s="29"/>
      <c r="N107" s="29"/>
      <c r="O107" s="29" t="s">
        <v>1458</v>
      </c>
      <c r="P107" s="29" t="s">
        <v>1459</v>
      </c>
      <c r="Q107" s="29" t="s">
        <v>1749</v>
      </c>
      <c r="R107" t="s">
        <v>1756</v>
      </c>
      <c r="S107" t="s">
        <v>1411</v>
      </c>
      <c r="T107" s="35"/>
    </row>
    <row r="108" spans="1:20" x14ac:dyDescent="0.35">
      <c r="B108" s="29" t="s">
        <v>1303</v>
      </c>
      <c r="C108" s="35" t="s">
        <v>691</v>
      </c>
      <c r="D108" s="35" t="s">
        <v>691</v>
      </c>
      <c r="E108" s="35" t="s">
        <v>696</v>
      </c>
      <c r="F108" s="29" t="s">
        <v>692</v>
      </c>
      <c r="G108" s="29" t="s">
        <v>192</v>
      </c>
      <c r="H108" s="35" t="s">
        <v>200</v>
      </c>
      <c r="I108" s="29" t="s">
        <v>693</v>
      </c>
      <c r="J108" s="29" t="s">
        <v>725</v>
      </c>
      <c r="K108" s="29" t="s">
        <v>725</v>
      </c>
      <c r="L108" s="29"/>
      <c r="M108" s="29"/>
      <c r="N108" s="29"/>
      <c r="O108" s="29" t="s">
        <v>1458</v>
      </c>
      <c r="P108" s="29" t="s">
        <v>1430</v>
      </c>
      <c r="Q108" s="29" t="s">
        <v>1749</v>
      </c>
      <c r="R108" t="s">
        <v>1250</v>
      </c>
      <c r="S108" t="s">
        <v>1844</v>
      </c>
      <c r="T108" t="s">
        <v>727</v>
      </c>
    </row>
    <row r="109" spans="1:20" x14ac:dyDescent="0.35">
      <c r="A109" s="35" t="s">
        <v>726</v>
      </c>
      <c r="B109" s="29" t="s">
        <v>1304</v>
      </c>
      <c r="C109" s="35" t="s">
        <v>185</v>
      </c>
      <c r="D109" s="35" t="s">
        <v>691</v>
      </c>
      <c r="E109" s="35"/>
      <c r="F109" s="29" t="s">
        <v>692</v>
      </c>
      <c r="G109" s="29"/>
      <c r="H109" s="35"/>
      <c r="I109" s="29" t="s">
        <v>693</v>
      </c>
      <c r="J109" s="35"/>
      <c r="K109" s="35"/>
      <c r="L109" s="35"/>
      <c r="M109" s="35"/>
      <c r="N109" s="35"/>
      <c r="O109" s="35" t="s">
        <v>1447</v>
      </c>
      <c r="P109" s="35" t="s">
        <v>1437</v>
      </c>
      <c r="Q109" s="35"/>
      <c r="R109" s="35" t="s">
        <v>1753</v>
      </c>
      <c r="S109" s="35"/>
      <c r="T109" s="35"/>
    </row>
    <row r="110" spans="1:20" x14ac:dyDescent="0.35">
      <c r="A110" s="35" t="s">
        <v>740</v>
      </c>
      <c r="B110" s="29" t="s">
        <v>1188</v>
      </c>
      <c r="C110" s="35" t="s">
        <v>185</v>
      </c>
      <c r="D110" s="35" t="s">
        <v>691</v>
      </c>
      <c r="E110" s="35"/>
      <c r="F110" s="29" t="s">
        <v>692</v>
      </c>
      <c r="G110" s="29"/>
      <c r="H110" s="35"/>
      <c r="I110" s="29" t="s">
        <v>693</v>
      </c>
      <c r="J110" s="35"/>
      <c r="K110" s="35"/>
      <c r="L110" s="35"/>
      <c r="M110" s="35"/>
      <c r="N110" s="35"/>
      <c r="O110" s="35" t="s">
        <v>1429</v>
      </c>
      <c r="P110" s="35" t="s">
        <v>1430</v>
      </c>
      <c r="Q110" s="35"/>
      <c r="R110" s="35" t="s">
        <v>1753</v>
      </c>
      <c r="S110" s="35"/>
      <c r="T110" s="35"/>
    </row>
    <row r="111" spans="1:20" x14ac:dyDescent="0.35">
      <c r="A111" s="35" t="s">
        <v>732</v>
      </c>
      <c r="B111" s="29" t="s">
        <v>1322</v>
      </c>
      <c r="C111" s="35" t="s">
        <v>185</v>
      </c>
      <c r="D111" s="35" t="s">
        <v>691</v>
      </c>
      <c r="E111" s="35"/>
      <c r="F111" s="29" t="s">
        <v>692</v>
      </c>
      <c r="G111" s="29"/>
      <c r="H111" s="35"/>
      <c r="I111" s="29" t="s">
        <v>693</v>
      </c>
      <c r="J111" s="35"/>
      <c r="K111" s="35"/>
      <c r="L111" s="35"/>
      <c r="M111" s="35"/>
      <c r="N111" s="35"/>
      <c r="O111" s="35" t="s">
        <v>1447</v>
      </c>
      <c r="P111" s="35" t="s">
        <v>1437</v>
      </c>
      <c r="Q111" s="35"/>
      <c r="R111" s="35" t="s">
        <v>1755</v>
      </c>
      <c r="S111" s="35"/>
      <c r="T111" s="35"/>
    </row>
    <row r="112" spans="1:20" x14ac:dyDescent="0.35">
      <c r="B112" s="29" t="s">
        <v>1350</v>
      </c>
      <c r="C112" s="35" t="s">
        <v>185</v>
      </c>
      <c r="D112" s="35" t="s">
        <v>691</v>
      </c>
      <c r="E112" s="35"/>
      <c r="F112" s="29" t="s">
        <v>692</v>
      </c>
      <c r="G112" s="29"/>
      <c r="H112" s="35"/>
      <c r="I112" s="29" t="s">
        <v>693</v>
      </c>
      <c r="J112" s="35"/>
      <c r="K112" s="35"/>
      <c r="L112" s="35"/>
      <c r="M112" s="35"/>
      <c r="N112" s="35"/>
      <c r="O112" s="35" t="s">
        <v>1431</v>
      </c>
      <c r="P112" s="35" t="s">
        <v>1432</v>
      </c>
      <c r="Q112" s="35"/>
      <c r="R112" s="35" t="s">
        <v>1752</v>
      </c>
      <c r="S112" s="35"/>
      <c r="T112" s="35"/>
    </row>
    <row r="113" spans="1:20" x14ac:dyDescent="0.35">
      <c r="A113" s="35" t="s">
        <v>737</v>
      </c>
      <c r="B113" s="29" t="s">
        <v>1327</v>
      </c>
      <c r="C113" s="35" t="s">
        <v>185</v>
      </c>
      <c r="D113" s="35" t="s">
        <v>691</v>
      </c>
      <c r="E113" s="35"/>
      <c r="F113" s="29" t="s">
        <v>692</v>
      </c>
      <c r="G113" s="29"/>
      <c r="H113" s="35"/>
      <c r="I113" s="29" t="s">
        <v>693</v>
      </c>
      <c r="J113" s="35"/>
      <c r="K113" s="35"/>
      <c r="L113" s="36"/>
      <c r="M113" s="35"/>
      <c r="N113" s="35"/>
      <c r="O113" s="35" t="s">
        <v>1456</v>
      </c>
      <c r="P113" s="35" t="s">
        <v>1430</v>
      </c>
      <c r="Q113" s="35"/>
      <c r="R113" s="35" t="s">
        <v>1753</v>
      </c>
      <c r="S113" s="35"/>
      <c r="T113" s="35"/>
    </row>
    <row r="114" spans="1:20" x14ac:dyDescent="0.35">
      <c r="A114" s="35" t="s">
        <v>704</v>
      </c>
      <c r="B114" s="29" t="s">
        <v>1273</v>
      </c>
      <c r="C114" s="35" t="s">
        <v>185</v>
      </c>
      <c r="D114" s="35" t="s">
        <v>691</v>
      </c>
      <c r="E114" s="35"/>
      <c r="F114" s="29" t="s">
        <v>692</v>
      </c>
      <c r="G114" s="29"/>
      <c r="H114" s="35"/>
      <c r="I114" s="29" t="s">
        <v>693</v>
      </c>
      <c r="J114" s="35"/>
      <c r="K114" s="35"/>
      <c r="L114" s="36"/>
      <c r="M114" s="35"/>
      <c r="N114" s="35"/>
      <c r="O114" s="35" t="s">
        <v>1455</v>
      </c>
      <c r="P114" s="35" t="s">
        <v>1430</v>
      </c>
      <c r="Q114" s="35"/>
      <c r="R114" s="35" t="s">
        <v>1753</v>
      </c>
      <c r="S114" s="35"/>
      <c r="T114" s="35"/>
    </row>
    <row r="115" spans="1:20" x14ac:dyDescent="0.35">
      <c r="A115" s="35" t="s">
        <v>705</v>
      </c>
      <c r="B115" s="29" t="s">
        <v>1274</v>
      </c>
      <c r="C115" s="35" t="s">
        <v>185</v>
      </c>
      <c r="D115" s="35" t="s">
        <v>691</v>
      </c>
      <c r="E115" s="35"/>
      <c r="F115" s="29" t="s">
        <v>692</v>
      </c>
      <c r="G115" s="29"/>
      <c r="H115" s="35"/>
      <c r="I115" s="29" t="s">
        <v>693</v>
      </c>
      <c r="J115" s="35"/>
      <c r="K115" s="35"/>
      <c r="L115" s="36"/>
      <c r="M115" s="35"/>
      <c r="N115" s="35"/>
      <c r="O115" s="35" t="s">
        <v>1455</v>
      </c>
      <c r="P115" s="35" t="s">
        <v>1430</v>
      </c>
      <c r="Q115" s="35"/>
      <c r="R115" s="35" t="s">
        <v>1753</v>
      </c>
      <c r="S115" s="35"/>
      <c r="T115" s="35"/>
    </row>
    <row r="116" spans="1:20" x14ac:dyDescent="0.35">
      <c r="A116" s="35" t="s">
        <v>730</v>
      </c>
      <c r="B116" s="29" t="s">
        <v>1320</v>
      </c>
      <c r="C116" s="35" t="s">
        <v>185</v>
      </c>
      <c r="D116" s="35" t="s">
        <v>691</v>
      </c>
      <c r="E116" s="35"/>
      <c r="F116" s="29" t="s">
        <v>692</v>
      </c>
      <c r="G116" s="29"/>
      <c r="H116" s="35"/>
      <c r="I116" s="29" t="s">
        <v>693</v>
      </c>
      <c r="J116" s="35"/>
      <c r="K116" s="35"/>
      <c r="L116" s="36"/>
      <c r="M116" s="35"/>
      <c r="N116" s="35"/>
      <c r="O116" s="35" t="s">
        <v>1447</v>
      </c>
      <c r="P116" s="35" t="s">
        <v>1437</v>
      </c>
      <c r="Q116" s="35"/>
      <c r="R116" s="35" t="s">
        <v>1755</v>
      </c>
      <c r="S116" s="35"/>
      <c r="T116" s="35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11D8-A519-4EB3-B68E-6FE32F158CE9}">
  <sheetPr>
    <tabColor theme="7"/>
  </sheetPr>
  <dimension ref="A1:K82"/>
  <sheetViews>
    <sheetView workbookViewId="0">
      <selection activeCell="C8" sqref="C8:C82"/>
    </sheetView>
  </sheetViews>
  <sheetFormatPr defaultColWidth="8.81640625" defaultRowHeight="14.5" x14ac:dyDescent="0.35"/>
  <cols>
    <col min="1" max="1" width="16.453125" style="29" customWidth="1"/>
    <col min="2" max="2" width="83.453125" style="29" customWidth="1"/>
    <col min="3" max="3" width="18" style="29" customWidth="1"/>
    <col min="4" max="4" width="25.81640625" style="29" customWidth="1"/>
    <col min="5" max="5" width="20.453125" bestFit="1" customWidth="1"/>
    <col min="6" max="6" width="18.81640625" style="35" customWidth="1"/>
    <col min="7" max="7" width="19.453125" style="29" customWidth="1"/>
    <col min="8" max="8" width="31.453125" style="29" customWidth="1"/>
    <col min="9" max="9" width="19.453125" style="29" customWidth="1"/>
    <col min="10" max="10" width="106.453125" style="29" bestFit="1" customWidth="1"/>
  </cols>
  <sheetData>
    <row r="1" spans="1:11" x14ac:dyDescent="0.35">
      <c r="A1" s="29" t="s">
        <v>679</v>
      </c>
      <c r="B1" s="29" t="s">
        <v>752</v>
      </c>
      <c r="C1" s="35" t="s">
        <v>753</v>
      </c>
      <c r="D1" s="29" t="s">
        <v>754</v>
      </c>
      <c r="E1" s="29" t="s">
        <v>755</v>
      </c>
      <c r="F1" s="29" t="s">
        <v>756</v>
      </c>
      <c r="G1" s="29" t="s">
        <v>757</v>
      </c>
      <c r="H1" s="29" t="s">
        <v>1777</v>
      </c>
      <c r="I1" s="29" t="s">
        <v>1460</v>
      </c>
      <c r="J1" s="29" t="s">
        <v>1461</v>
      </c>
      <c r="K1" t="s">
        <v>121</v>
      </c>
    </row>
    <row r="2" spans="1:11" hidden="1" x14ac:dyDescent="0.35">
      <c r="B2" s="29" t="s">
        <v>1181</v>
      </c>
      <c r="C2" s="35" t="s">
        <v>759</v>
      </c>
      <c r="E2" s="34"/>
      <c r="F2" s="29" t="s">
        <v>693</v>
      </c>
      <c r="I2" s="29" t="s">
        <v>1464</v>
      </c>
    </row>
    <row r="3" spans="1:11" hidden="1" x14ac:dyDescent="0.35">
      <c r="A3" s="29" t="s">
        <v>787</v>
      </c>
      <c r="B3" s="29" t="s">
        <v>1389</v>
      </c>
      <c r="C3" s="35" t="s">
        <v>759</v>
      </c>
      <c r="E3" s="34"/>
      <c r="F3" s="29" t="s">
        <v>693</v>
      </c>
      <c r="I3" s="29" t="s">
        <v>1466</v>
      </c>
      <c r="K3" s="29"/>
    </row>
    <row r="4" spans="1:11" hidden="1" x14ac:dyDescent="0.35">
      <c r="A4" s="29" t="s">
        <v>795</v>
      </c>
      <c r="B4" s="29" t="s">
        <v>1180</v>
      </c>
      <c r="C4" s="35" t="s">
        <v>759</v>
      </c>
      <c r="E4" s="34"/>
      <c r="F4" s="29" t="s">
        <v>693</v>
      </c>
      <c r="I4" s="29" t="s">
        <v>1468</v>
      </c>
    </row>
    <row r="5" spans="1:11" hidden="1" x14ac:dyDescent="0.35">
      <c r="A5" s="29" t="s">
        <v>788</v>
      </c>
      <c r="B5" s="29" t="s">
        <v>1391</v>
      </c>
      <c r="C5" s="35" t="s">
        <v>759</v>
      </c>
      <c r="E5" s="34"/>
      <c r="F5" s="29" t="s">
        <v>693</v>
      </c>
      <c r="I5" s="29" t="s">
        <v>1447</v>
      </c>
    </row>
    <row r="6" spans="1:11" hidden="1" x14ac:dyDescent="0.35">
      <c r="A6" s="29" t="s">
        <v>767</v>
      </c>
      <c r="B6" s="29" t="s">
        <v>1176</v>
      </c>
      <c r="C6" s="35" t="s">
        <v>759</v>
      </c>
      <c r="E6" s="34"/>
      <c r="F6" s="29" t="s">
        <v>693</v>
      </c>
      <c r="I6" s="29" t="s">
        <v>1447</v>
      </c>
    </row>
    <row r="7" spans="1:11" hidden="1" x14ac:dyDescent="0.35">
      <c r="A7" s="29" t="s">
        <v>708</v>
      </c>
      <c r="B7" s="29" t="s">
        <v>1361</v>
      </c>
      <c r="C7" s="35" t="s">
        <v>759</v>
      </c>
      <c r="E7" s="34"/>
      <c r="F7" s="29" t="s">
        <v>693</v>
      </c>
      <c r="I7" s="29" t="s">
        <v>1447</v>
      </c>
    </row>
    <row r="8" spans="1:11" x14ac:dyDescent="0.35">
      <c r="A8" s="29" t="s">
        <v>17</v>
      </c>
      <c r="B8" s="29" t="s">
        <v>1366</v>
      </c>
      <c r="C8" s="35" t="s">
        <v>768</v>
      </c>
      <c r="D8" s="29" t="s">
        <v>696</v>
      </c>
      <c r="E8" s="29" t="s">
        <v>1102</v>
      </c>
      <c r="F8" s="29" t="s">
        <v>693</v>
      </c>
      <c r="G8" s="29" t="s">
        <v>700</v>
      </c>
      <c r="H8" s="34" t="s">
        <v>1778</v>
      </c>
      <c r="I8" s="29" t="s">
        <v>1366</v>
      </c>
    </row>
    <row r="9" spans="1:11" x14ac:dyDescent="0.35">
      <c r="A9" s="29" t="s">
        <v>11</v>
      </c>
      <c r="B9" s="29" t="s">
        <v>1365</v>
      </c>
      <c r="C9" s="35" t="s">
        <v>768</v>
      </c>
      <c r="D9" s="29" t="s">
        <v>696</v>
      </c>
      <c r="E9" s="29" t="s">
        <v>1102</v>
      </c>
      <c r="F9" s="29" t="s">
        <v>693</v>
      </c>
      <c r="G9" s="29" t="s">
        <v>697</v>
      </c>
      <c r="H9" s="34" t="s">
        <v>200</v>
      </c>
      <c r="I9" s="29" t="s">
        <v>1465</v>
      </c>
      <c r="J9" s="29" t="s">
        <v>1365</v>
      </c>
      <c r="K9" s="29"/>
    </row>
    <row r="10" spans="1:11" x14ac:dyDescent="0.35">
      <c r="A10" s="29" t="s">
        <v>772</v>
      </c>
      <c r="B10" s="29" t="s">
        <v>1367</v>
      </c>
      <c r="C10" s="35" t="s">
        <v>768</v>
      </c>
      <c r="D10" s="29" t="s">
        <v>696</v>
      </c>
      <c r="E10" s="29" t="s">
        <v>1102</v>
      </c>
      <c r="F10" s="29" t="s">
        <v>693</v>
      </c>
      <c r="G10" s="29" t="s">
        <v>697</v>
      </c>
      <c r="H10" s="34" t="s">
        <v>200</v>
      </c>
      <c r="I10" s="29" t="s">
        <v>1465</v>
      </c>
      <c r="J10" s="29" t="s">
        <v>1365</v>
      </c>
      <c r="K10" t="s">
        <v>769</v>
      </c>
    </row>
    <row r="11" spans="1:11" hidden="1" x14ac:dyDescent="0.35">
      <c r="A11" s="29" t="s">
        <v>781</v>
      </c>
      <c r="B11" s="29" t="s">
        <v>1381</v>
      </c>
      <c r="C11" s="35" t="s">
        <v>759</v>
      </c>
      <c r="E11" s="34"/>
      <c r="F11" s="29" t="s">
        <v>693</v>
      </c>
      <c r="I11" s="29" t="s">
        <v>1187</v>
      </c>
      <c r="K11" s="29"/>
    </row>
    <row r="12" spans="1:11" x14ac:dyDescent="0.35">
      <c r="A12" s="29" t="s">
        <v>12</v>
      </c>
      <c r="B12" s="29" t="s">
        <v>1387</v>
      </c>
      <c r="C12" s="35" t="s">
        <v>768</v>
      </c>
      <c r="D12" s="29" t="s">
        <v>696</v>
      </c>
      <c r="E12" s="29" t="s">
        <v>1102</v>
      </c>
      <c r="F12" s="29" t="s">
        <v>693</v>
      </c>
      <c r="G12" s="29" t="s">
        <v>697</v>
      </c>
      <c r="H12" s="34" t="s">
        <v>200</v>
      </c>
      <c r="I12" s="29" t="s">
        <v>1465</v>
      </c>
      <c r="J12" s="29" t="s">
        <v>1387</v>
      </c>
      <c r="K12" s="29"/>
    </row>
    <row r="13" spans="1:11" hidden="1" x14ac:dyDescent="0.35">
      <c r="A13" s="29" t="s">
        <v>792</v>
      </c>
      <c r="B13" s="29" t="s">
        <v>1397</v>
      </c>
      <c r="C13" s="35" t="s">
        <v>759</v>
      </c>
      <c r="E13" s="34"/>
      <c r="F13" s="29" t="s">
        <v>693</v>
      </c>
      <c r="I13" s="29" t="s">
        <v>1464</v>
      </c>
    </row>
    <row r="14" spans="1:11" x14ac:dyDescent="0.35">
      <c r="A14" s="34"/>
      <c r="B14" s="29" t="s">
        <v>1376</v>
      </c>
      <c r="C14" s="35" t="s">
        <v>768</v>
      </c>
      <c r="D14" s="29" t="s">
        <v>696</v>
      </c>
      <c r="E14" s="29" t="s">
        <v>1102</v>
      </c>
      <c r="F14" s="29" t="s">
        <v>693</v>
      </c>
      <c r="G14" s="29" t="s">
        <v>697</v>
      </c>
      <c r="H14" s="34" t="s">
        <v>200</v>
      </c>
      <c r="I14" s="29" t="s">
        <v>1465</v>
      </c>
      <c r="J14" s="29" t="s">
        <v>1469</v>
      </c>
      <c r="K14" t="s">
        <v>769</v>
      </c>
    </row>
    <row r="15" spans="1:11" hidden="1" x14ac:dyDescent="0.35">
      <c r="B15" s="29" t="s">
        <v>1184</v>
      </c>
      <c r="C15" s="35" t="s">
        <v>759</v>
      </c>
      <c r="E15" s="34"/>
      <c r="F15" s="29" t="s">
        <v>693</v>
      </c>
      <c r="I15" s="29" t="s">
        <v>1464</v>
      </c>
    </row>
    <row r="16" spans="1:11" x14ac:dyDescent="0.35">
      <c r="A16" s="29" t="s">
        <v>16</v>
      </c>
      <c r="B16" s="29" t="s">
        <v>1371</v>
      </c>
      <c r="C16" s="35" t="s">
        <v>768</v>
      </c>
      <c r="D16" s="29" t="s">
        <v>701</v>
      </c>
      <c r="E16" s="29" t="s">
        <v>191</v>
      </c>
      <c r="F16" s="29" t="s">
        <v>693</v>
      </c>
      <c r="G16" s="29" t="s">
        <v>697</v>
      </c>
      <c r="H16" s="34" t="s">
        <v>1778</v>
      </c>
      <c r="I16" s="29" t="s">
        <v>1371</v>
      </c>
      <c r="J16" s="29" t="s">
        <v>1371</v>
      </c>
      <c r="K16" s="29"/>
    </row>
    <row r="17" spans="1:11" x14ac:dyDescent="0.35">
      <c r="B17" s="29" t="s">
        <v>1374</v>
      </c>
      <c r="C17" s="35" t="s">
        <v>777</v>
      </c>
      <c r="D17" s="29" t="s">
        <v>701</v>
      </c>
      <c r="E17" s="29" t="s">
        <v>1102</v>
      </c>
      <c r="F17" s="29"/>
      <c r="G17" s="29" t="s">
        <v>697</v>
      </c>
      <c r="H17" s="34" t="s">
        <v>1778</v>
      </c>
      <c r="I17" s="29" t="s">
        <v>1374</v>
      </c>
      <c r="J17" s="29" t="s">
        <v>1371</v>
      </c>
      <c r="K17" s="29" t="s">
        <v>779</v>
      </c>
    </row>
    <row r="18" spans="1:11" x14ac:dyDescent="0.35">
      <c r="B18" s="29" t="s">
        <v>1373</v>
      </c>
      <c r="C18" s="35" t="s">
        <v>777</v>
      </c>
      <c r="D18" s="29" t="s">
        <v>701</v>
      </c>
      <c r="E18" s="29" t="s">
        <v>190</v>
      </c>
      <c r="F18" s="29" t="s">
        <v>693</v>
      </c>
      <c r="G18" s="29" t="s">
        <v>697</v>
      </c>
      <c r="H18" s="34" t="s">
        <v>1778</v>
      </c>
      <c r="I18" s="29" t="s">
        <v>1373</v>
      </c>
      <c r="J18" s="29" t="s">
        <v>1371</v>
      </c>
      <c r="K18" s="29" t="s">
        <v>778</v>
      </c>
    </row>
    <row r="19" spans="1:11" x14ac:dyDescent="0.35">
      <c r="B19" s="29" t="s">
        <v>1372</v>
      </c>
      <c r="C19" s="35" t="s">
        <v>777</v>
      </c>
      <c r="D19" s="29" t="s">
        <v>701</v>
      </c>
      <c r="E19" s="29" t="s">
        <v>190</v>
      </c>
      <c r="F19" s="29" t="s">
        <v>693</v>
      </c>
      <c r="G19" s="29" t="s">
        <v>697</v>
      </c>
      <c r="H19" s="34" t="s">
        <v>1778</v>
      </c>
      <c r="I19" s="29" t="s">
        <v>1372</v>
      </c>
      <c r="J19" s="29" t="s">
        <v>1371</v>
      </c>
      <c r="K19" s="29" t="s">
        <v>778</v>
      </c>
    </row>
    <row r="20" spans="1:11" x14ac:dyDescent="0.35">
      <c r="B20" s="29" t="s">
        <v>1712</v>
      </c>
      <c r="C20" s="35" t="s">
        <v>777</v>
      </c>
      <c r="D20" s="29" t="s">
        <v>701</v>
      </c>
      <c r="E20" s="29" t="s">
        <v>190</v>
      </c>
      <c r="F20" s="29" t="s">
        <v>693</v>
      </c>
      <c r="G20" s="29" t="s">
        <v>697</v>
      </c>
      <c r="H20" s="34" t="s">
        <v>1778</v>
      </c>
      <c r="I20" s="29" t="s">
        <v>1712</v>
      </c>
      <c r="J20" s="29" t="s">
        <v>1371</v>
      </c>
      <c r="K20" s="29" t="s">
        <v>778</v>
      </c>
    </row>
    <row r="21" spans="1:11" hidden="1" x14ac:dyDescent="0.35">
      <c r="A21" s="29" t="s">
        <v>774</v>
      </c>
      <c r="B21" s="29" t="s">
        <v>1369</v>
      </c>
      <c r="C21" s="35" t="s">
        <v>759</v>
      </c>
      <c r="E21" s="34"/>
      <c r="F21" s="29" t="s">
        <v>693</v>
      </c>
      <c r="I21" s="29" t="s">
        <v>1462</v>
      </c>
      <c r="K21" s="29" t="s">
        <v>775</v>
      </c>
    </row>
    <row r="22" spans="1:11" hidden="1" x14ac:dyDescent="0.35">
      <c r="A22" s="29" t="s">
        <v>25</v>
      </c>
      <c r="B22" s="29" t="s">
        <v>1238</v>
      </c>
      <c r="C22" s="35" t="s">
        <v>759</v>
      </c>
      <c r="E22" s="34"/>
      <c r="F22" s="29" t="s">
        <v>693</v>
      </c>
      <c r="I22" s="29" t="s">
        <v>1462</v>
      </c>
      <c r="K22" s="29" t="s">
        <v>775</v>
      </c>
    </row>
    <row r="23" spans="1:11" hidden="1" x14ac:dyDescent="0.35">
      <c r="A23" s="29" t="s">
        <v>776</v>
      </c>
      <c r="B23" s="29" t="s">
        <v>1178</v>
      </c>
      <c r="C23" s="35" t="s">
        <v>759</v>
      </c>
      <c r="E23" s="34"/>
      <c r="F23" s="29" t="s">
        <v>693</v>
      </c>
      <c r="I23" s="29" t="s">
        <v>1447</v>
      </c>
    </row>
    <row r="24" spans="1:11" x14ac:dyDescent="0.35">
      <c r="A24" s="29" t="s">
        <v>15</v>
      </c>
      <c r="B24" s="29" t="s">
        <v>1415</v>
      </c>
      <c r="C24" s="35" t="s">
        <v>768</v>
      </c>
      <c r="D24" s="29" t="s">
        <v>696</v>
      </c>
      <c r="E24" s="29" t="s">
        <v>1102</v>
      </c>
      <c r="F24" s="29" t="s">
        <v>693</v>
      </c>
      <c r="G24" s="29" t="s">
        <v>697</v>
      </c>
      <c r="H24" s="34" t="s">
        <v>1778</v>
      </c>
      <c r="I24" s="29" t="s">
        <v>1465</v>
      </c>
      <c r="J24" s="29" t="s">
        <v>1470</v>
      </c>
    </row>
    <row r="25" spans="1:11" hidden="1" x14ac:dyDescent="0.35">
      <c r="B25" s="29" t="s">
        <v>1407</v>
      </c>
      <c r="C25" s="35" t="s">
        <v>759</v>
      </c>
      <c r="E25" s="34"/>
      <c r="F25" s="29" t="s">
        <v>693</v>
      </c>
      <c r="I25" s="29" t="s">
        <v>1464</v>
      </c>
      <c r="K25" s="29"/>
    </row>
    <row r="26" spans="1:11" hidden="1" x14ac:dyDescent="0.35">
      <c r="A26" s="29" t="s">
        <v>714</v>
      </c>
      <c r="B26" s="29" t="s">
        <v>1362</v>
      </c>
      <c r="C26" s="35" t="s">
        <v>759</v>
      </c>
      <c r="E26" s="34"/>
      <c r="F26" s="29" t="s">
        <v>693</v>
      </c>
      <c r="I26" s="29" t="s">
        <v>1447</v>
      </c>
    </row>
    <row r="27" spans="1:11" hidden="1" x14ac:dyDescent="0.35">
      <c r="A27" s="29" t="s">
        <v>798</v>
      </c>
      <c r="B27" s="29" t="s">
        <v>1408</v>
      </c>
      <c r="C27" s="35" t="s">
        <v>759</v>
      </c>
      <c r="E27" s="34"/>
      <c r="F27" s="29" t="s">
        <v>693</v>
      </c>
      <c r="I27" s="29" t="s">
        <v>1464</v>
      </c>
    </row>
    <row r="28" spans="1:11" hidden="1" x14ac:dyDescent="0.35">
      <c r="A28" s="29" t="s">
        <v>785</v>
      </c>
      <c r="B28" s="29" t="s">
        <v>1386</v>
      </c>
      <c r="C28" s="35" t="s">
        <v>759</v>
      </c>
      <c r="E28" s="34"/>
      <c r="F28" s="29" t="s">
        <v>693</v>
      </c>
      <c r="I28" s="29" t="s">
        <v>1466</v>
      </c>
      <c r="K28" s="29"/>
    </row>
    <row r="29" spans="1:11" hidden="1" x14ac:dyDescent="0.35">
      <c r="A29" s="29" t="s">
        <v>786</v>
      </c>
      <c r="B29" s="29" t="s">
        <v>1388</v>
      </c>
      <c r="C29" s="35" t="s">
        <v>759</v>
      </c>
      <c r="E29" s="34"/>
      <c r="F29" s="29" t="s">
        <v>693</v>
      </c>
      <c r="I29" s="29" t="s">
        <v>1447</v>
      </c>
      <c r="K29" s="29"/>
    </row>
    <row r="30" spans="1:11" x14ac:dyDescent="0.35">
      <c r="A30" s="29" t="s">
        <v>10</v>
      </c>
      <c r="B30" s="29" t="s">
        <v>1390</v>
      </c>
      <c r="C30" s="35" t="s">
        <v>768</v>
      </c>
      <c r="D30" s="29" t="s">
        <v>696</v>
      </c>
      <c r="E30" s="29" t="s">
        <v>1102</v>
      </c>
      <c r="F30" s="29" t="s">
        <v>693</v>
      </c>
      <c r="G30" s="29" t="s">
        <v>697</v>
      </c>
      <c r="H30" s="34" t="s">
        <v>1778</v>
      </c>
      <c r="I30" s="29" t="s">
        <v>1467</v>
      </c>
      <c r="J30" s="29" t="s">
        <v>1467</v>
      </c>
      <c r="K30" s="29"/>
    </row>
    <row r="31" spans="1:11" hidden="1" x14ac:dyDescent="0.35">
      <c r="A31" s="29" t="s">
        <v>771</v>
      </c>
      <c r="B31" s="29" t="s">
        <v>1177</v>
      </c>
      <c r="C31" s="35" t="s">
        <v>759</v>
      </c>
      <c r="E31" s="34"/>
      <c r="F31" s="29" t="s">
        <v>693</v>
      </c>
      <c r="I31" s="29" t="s">
        <v>1447</v>
      </c>
    </row>
    <row r="32" spans="1:11" hidden="1" x14ac:dyDescent="0.35">
      <c r="A32" s="29" t="s">
        <v>783</v>
      </c>
      <c r="B32" s="29" t="s">
        <v>1179</v>
      </c>
      <c r="C32" s="35" t="s">
        <v>759</v>
      </c>
      <c r="E32" s="34"/>
      <c r="F32" s="29" t="s">
        <v>693</v>
      </c>
      <c r="I32" s="29" t="s">
        <v>1447</v>
      </c>
    </row>
    <row r="33" spans="1:11" hidden="1" x14ac:dyDescent="0.35">
      <c r="A33" s="29" t="s">
        <v>24</v>
      </c>
      <c r="B33" s="29" t="s">
        <v>1368</v>
      </c>
      <c r="C33" s="35" t="s">
        <v>759</v>
      </c>
      <c r="E33" s="34"/>
      <c r="F33" s="29" t="s">
        <v>693</v>
      </c>
      <c r="I33" s="29" t="s">
        <v>1462</v>
      </c>
      <c r="K33" s="29" t="s">
        <v>773</v>
      </c>
    </row>
    <row r="34" spans="1:11" hidden="1" x14ac:dyDescent="0.35">
      <c r="A34" s="29" t="s">
        <v>800</v>
      </c>
      <c r="B34" s="29" t="s">
        <v>1410</v>
      </c>
      <c r="C34" s="35" t="s">
        <v>759</v>
      </c>
      <c r="E34" s="34"/>
      <c r="F34" s="29" t="s">
        <v>693</v>
      </c>
      <c r="I34" s="29" t="s">
        <v>1464</v>
      </c>
    </row>
    <row r="35" spans="1:11" hidden="1" x14ac:dyDescent="0.35">
      <c r="A35" s="29" t="s">
        <v>715</v>
      </c>
      <c r="B35" s="29" t="s">
        <v>1363</v>
      </c>
      <c r="C35" s="35" t="s">
        <v>759</v>
      </c>
      <c r="E35" s="34"/>
      <c r="F35" s="29" t="s">
        <v>693</v>
      </c>
      <c r="I35" s="29" t="s">
        <v>1447</v>
      </c>
    </row>
    <row r="36" spans="1:11" x14ac:dyDescent="0.35">
      <c r="A36" s="34"/>
      <c r="B36" s="29" t="s">
        <v>1378</v>
      </c>
      <c r="C36" s="35" t="s">
        <v>768</v>
      </c>
      <c r="D36" s="29" t="s">
        <v>701</v>
      </c>
      <c r="E36" s="29" t="s">
        <v>191</v>
      </c>
      <c r="F36" s="29" t="s">
        <v>693</v>
      </c>
      <c r="G36" s="29" t="s">
        <v>697</v>
      </c>
      <c r="H36" s="34" t="s">
        <v>1778</v>
      </c>
      <c r="I36" s="29" t="s">
        <v>1378</v>
      </c>
      <c r="J36" s="29" t="s">
        <v>1471</v>
      </c>
      <c r="K36" t="s">
        <v>780</v>
      </c>
    </row>
    <row r="37" spans="1:11" x14ac:dyDescent="0.35">
      <c r="A37" s="34"/>
      <c r="B37" s="29" t="s">
        <v>1380</v>
      </c>
      <c r="C37" s="35" t="s">
        <v>768</v>
      </c>
      <c r="D37" s="29" t="s">
        <v>701</v>
      </c>
      <c r="E37" s="29" t="s">
        <v>190</v>
      </c>
      <c r="F37" s="29" t="s">
        <v>693</v>
      </c>
      <c r="G37" s="29" t="s">
        <v>697</v>
      </c>
      <c r="H37" s="34" t="s">
        <v>1778</v>
      </c>
      <c r="I37" s="29" t="s">
        <v>1380</v>
      </c>
      <c r="J37" s="29" t="s">
        <v>1471</v>
      </c>
      <c r="K37" t="s">
        <v>780</v>
      </c>
    </row>
    <row r="38" spans="1:11" x14ac:dyDescent="0.35">
      <c r="A38" s="34"/>
      <c r="B38" s="29" t="s">
        <v>1379</v>
      </c>
      <c r="C38" s="35" t="s">
        <v>768</v>
      </c>
      <c r="D38" s="29" t="s">
        <v>701</v>
      </c>
      <c r="E38" s="29" t="s">
        <v>190</v>
      </c>
      <c r="F38" s="29" t="s">
        <v>693</v>
      </c>
      <c r="G38" s="29" t="s">
        <v>697</v>
      </c>
      <c r="H38" s="34" t="s">
        <v>1778</v>
      </c>
      <c r="I38" s="29" t="s">
        <v>1379</v>
      </c>
      <c r="J38" s="29" t="s">
        <v>1471</v>
      </c>
      <c r="K38" t="s">
        <v>780</v>
      </c>
    </row>
    <row r="39" spans="1:11" hidden="1" x14ac:dyDescent="0.35">
      <c r="A39" s="29" t="s">
        <v>716</v>
      </c>
      <c r="B39" s="29" t="s">
        <v>1364</v>
      </c>
      <c r="C39" s="35" t="s">
        <v>759</v>
      </c>
      <c r="E39" s="34"/>
      <c r="F39" s="29" t="s">
        <v>693</v>
      </c>
      <c r="I39" s="29" t="s">
        <v>1447</v>
      </c>
    </row>
    <row r="40" spans="1:11" hidden="1" x14ac:dyDescent="0.35">
      <c r="B40" s="29" t="s">
        <v>1396</v>
      </c>
      <c r="C40" s="35" t="s">
        <v>759</v>
      </c>
      <c r="E40" s="34"/>
      <c r="F40" s="29" t="s">
        <v>693</v>
      </c>
      <c r="I40" s="29" t="s">
        <v>1464</v>
      </c>
    </row>
    <row r="41" spans="1:11" hidden="1" x14ac:dyDescent="0.35">
      <c r="A41" s="29" t="s">
        <v>790</v>
      </c>
      <c r="B41" s="29" t="s">
        <v>1393</v>
      </c>
      <c r="C41" s="35" t="s">
        <v>759</v>
      </c>
      <c r="E41" s="34"/>
      <c r="F41" s="29" t="s">
        <v>693</v>
      </c>
      <c r="I41" s="29" t="s">
        <v>1447</v>
      </c>
    </row>
    <row r="42" spans="1:11" hidden="1" x14ac:dyDescent="0.35">
      <c r="A42" s="29" t="s">
        <v>796</v>
      </c>
      <c r="B42" s="29" t="s">
        <v>1403</v>
      </c>
      <c r="C42" s="35" t="s">
        <v>759</v>
      </c>
      <c r="E42" s="34"/>
      <c r="F42" s="29" t="s">
        <v>693</v>
      </c>
      <c r="I42" s="29" t="s">
        <v>1468</v>
      </c>
    </row>
    <row r="43" spans="1:11" hidden="1" x14ac:dyDescent="0.35">
      <c r="A43" s="29" t="s">
        <v>789</v>
      </c>
      <c r="B43" s="29" t="s">
        <v>1392</v>
      </c>
      <c r="C43" s="35" t="s">
        <v>759</v>
      </c>
      <c r="E43" s="34"/>
      <c r="F43" s="29" t="s">
        <v>693</v>
      </c>
      <c r="I43" s="29" t="s">
        <v>1447</v>
      </c>
    </row>
    <row r="44" spans="1:11" x14ac:dyDescent="0.35">
      <c r="A44" s="29" t="s">
        <v>13</v>
      </c>
      <c r="B44" s="29" t="s">
        <v>1375</v>
      </c>
      <c r="C44" s="35" t="s">
        <v>768</v>
      </c>
      <c r="D44" s="29" t="s">
        <v>696</v>
      </c>
      <c r="E44" s="29" t="s">
        <v>190</v>
      </c>
      <c r="F44" s="29" t="s">
        <v>693</v>
      </c>
      <c r="G44" s="29" t="s">
        <v>697</v>
      </c>
      <c r="H44" s="34" t="s">
        <v>200</v>
      </c>
      <c r="I44" s="29" t="s">
        <v>1375</v>
      </c>
      <c r="J44" s="29" t="s">
        <v>1471</v>
      </c>
      <c r="K44" s="29"/>
    </row>
    <row r="45" spans="1:11" x14ac:dyDescent="0.35">
      <c r="A45" s="34"/>
      <c r="B45" s="29" t="s">
        <v>1384</v>
      </c>
      <c r="C45" s="35" t="s">
        <v>768</v>
      </c>
      <c r="D45" s="29" t="s">
        <v>696</v>
      </c>
      <c r="E45" s="29" t="s">
        <v>191</v>
      </c>
      <c r="F45" s="29" t="s">
        <v>693</v>
      </c>
      <c r="G45" s="29" t="s">
        <v>697</v>
      </c>
      <c r="H45" s="34" t="s">
        <v>1778</v>
      </c>
      <c r="I45" s="29" t="s">
        <v>1384</v>
      </c>
      <c r="J45" s="29" t="s">
        <v>1471</v>
      </c>
      <c r="K45" t="s">
        <v>780</v>
      </c>
    </row>
    <row r="46" spans="1:11" hidden="1" x14ac:dyDescent="0.35">
      <c r="A46" s="29" t="s">
        <v>758</v>
      </c>
      <c r="B46" s="29" t="s">
        <v>1351</v>
      </c>
      <c r="C46" s="35" t="s">
        <v>759</v>
      </c>
      <c r="E46" s="34"/>
      <c r="F46" s="29" t="s">
        <v>693</v>
      </c>
      <c r="I46" s="29" t="s">
        <v>1462</v>
      </c>
      <c r="K46" s="29"/>
    </row>
    <row r="47" spans="1:11" hidden="1" x14ac:dyDescent="0.35">
      <c r="A47" s="29" t="s">
        <v>707</v>
      </c>
      <c r="B47" s="29" t="s">
        <v>1356</v>
      </c>
      <c r="C47" s="35" t="s">
        <v>759</v>
      </c>
      <c r="E47" s="34"/>
      <c r="F47" s="29" t="s">
        <v>693</v>
      </c>
      <c r="I47" s="29" t="s">
        <v>1447</v>
      </c>
    </row>
    <row r="48" spans="1:11" hidden="1" x14ac:dyDescent="0.35">
      <c r="A48" s="29" t="s">
        <v>760</v>
      </c>
      <c r="B48" s="29" t="s">
        <v>1352</v>
      </c>
      <c r="C48" s="35" t="s">
        <v>759</v>
      </c>
      <c r="E48" s="34"/>
      <c r="F48" s="29" t="s">
        <v>693</v>
      </c>
      <c r="I48" s="29" t="s">
        <v>1447</v>
      </c>
    </row>
    <row r="49" spans="1:11" hidden="1" x14ac:dyDescent="0.35">
      <c r="B49" s="29" t="s">
        <v>1383</v>
      </c>
      <c r="C49" s="35" t="s">
        <v>759</v>
      </c>
      <c r="E49" s="34"/>
      <c r="F49" s="29" t="s">
        <v>693</v>
      </c>
      <c r="I49" s="29" t="s">
        <v>1447</v>
      </c>
    </row>
    <row r="50" spans="1:11" hidden="1" x14ac:dyDescent="0.35">
      <c r="A50" s="29" t="s">
        <v>763</v>
      </c>
      <c r="B50" s="29" t="s">
        <v>1357</v>
      </c>
      <c r="C50" s="35" t="s">
        <v>759</v>
      </c>
      <c r="E50" s="34"/>
      <c r="F50" s="29" t="s">
        <v>693</v>
      </c>
      <c r="I50" s="29" t="s">
        <v>1447</v>
      </c>
    </row>
    <row r="51" spans="1:11" hidden="1" x14ac:dyDescent="0.35">
      <c r="A51" s="29" t="s">
        <v>762</v>
      </c>
      <c r="B51" s="29" t="s">
        <v>1354</v>
      </c>
      <c r="C51" s="35" t="s">
        <v>759</v>
      </c>
      <c r="E51" s="34"/>
      <c r="F51" s="29" t="s">
        <v>693</v>
      </c>
      <c r="I51" s="29" t="s">
        <v>1463</v>
      </c>
      <c r="K51" s="29"/>
    </row>
    <row r="52" spans="1:11" hidden="1" x14ac:dyDescent="0.35">
      <c r="B52" s="29" t="s">
        <v>1175</v>
      </c>
      <c r="C52" s="35" t="s">
        <v>759</v>
      </c>
      <c r="E52" s="34"/>
      <c r="F52" s="29" t="s">
        <v>693</v>
      </c>
      <c r="I52" s="29" t="s">
        <v>1447</v>
      </c>
    </row>
    <row r="53" spans="1:11" hidden="1" x14ac:dyDescent="0.35">
      <c r="B53" s="29" t="s">
        <v>1355</v>
      </c>
      <c r="C53" s="35" t="s">
        <v>759</v>
      </c>
      <c r="E53" s="34"/>
      <c r="F53" s="29" t="s">
        <v>693</v>
      </c>
      <c r="I53" s="29" t="s">
        <v>1463</v>
      </c>
      <c r="K53" s="29"/>
    </row>
    <row r="54" spans="1:11" hidden="1" x14ac:dyDescent="0.35">
      <c r="A54" t="s">
        <v>764</v>
      </c>
      <c r="B54" s="29" t="s">
        <v>1358</v>
      </c>
      <c r="C54" s="35" t="s">
        <v>759</v>
      </c>
      <c r="E54" s="34"/>
      <c r="F54" s="29" t="s">
        <v>693</v>
      </c>
      <c r="I54" s="29" t="s">
        <v>1464</v>
      </c>
    </row>
    <row r="55" spans="1:11" hidden="1" x14ac:dyDescent="0.35">
      <c r="A55"/>
      <c r="B55" s="29" t="s">
        <v>1360</v>
      </c>
      <c r="C55" s="35" t="s">
        <v>759</v>
      </c>
      <c r="E55" s="34"/>
      <c r="F55" s="29" t="s">
        <v>693</v>
      </c>
      <c r="I55" s="29" t="s">
        <v>1464</v>
      </c>
    </row>
    <row r="56" spans="1:11" hidden="1" x14ac:dyDescent="0.35">
      <c r="A56" t="s">
        <v>765</v>
      </c>
      <c r="B56" s="29" t="s">
        <v>1359</v>
      </c>
      <c r="C56" s="35" t="s">
        <v>759</v>
      </c>
      <c r="E56" s="34"/>
      <c r="F56" s="29" t="s">
        <v>693</v>
      </c>
      <c r="I56" s="29" t="s">
        <v>1464</v>
      </c>
    </row>
    <row r="57" spans="1:11" hidden="1" x14ac:dyDescent="0.35">
      <c r="A57" s="29" t="s">
        <v>761</v>
      </c>
      <c r="B57" s="29" t="s">
        <v>1353</v>
      </c>
      <c r="C57" s="35" t="s">
        <v>759</v>
      </c>
      <c r="E57" s="34"/>
      <c r="F57" s="29" t="s">
        <v>693</v>
      </c>
      <c r="I57" s="29" t="s">
        <v>1447</v>
      </c>
    </row>
    <row r="58" spans="1:11" hidden="1" x14ac:dyDescent="0.35">
      <c r="A58" s="29" t="s">
        <v>770</v>
      </c>
      <c r="B58" s="29" t="s">
        <v>1173</v>
      </c>
      <c r="C58" s="35" t="s">
        <v>759</v>
      </c>
      <c r="E58" s="34"/>
      <c r="F58" s="29" t="s">
        <v>693</v>
      </c>
      <c r="I58" s="29" t="s">
        <v>1447</v>
      </c>
      <c r="K58" s="29"/>
    </row>
    <row r="59" spans="1:11" hidden="1" x14ac:dyDescent="0.35">
      <c r="A59" s="29" t="s">
        <v>784</v>
      </c>
      <c r="B59" s="29" t="s">
        <v>1385</v>
      </c>
      <c r="C59" s="35" t="s">
        <v>759</v>
      </c>
      <c r="E59" s="34"/>
      <c r="F59" s="29" t="s">
        <v>693</v>
      </c>
      <c r="I59" s="29" t="s">
        <v>1447</v>
      </c>
    </row>
    <row r="60" spans="1:11" hidden="1" x14ac:dyDescent="0.35">
      <c r="A60" s="29" t="s">
        <v>802</v>
      </c>
      <c r="B60" s="29" t="s">
        <v>1413</v>
      </c>
      <c r="C60" s="35" t="s">
        <v>759</v>
      </c>
      <c r="E60" s="34"/>
      <c r="F60" s="29" t="s">
        <v>693</v>
      </c>
      <c r="I60" s="29" t="s">
        <v>1468</v>
      </c>
      <c r="K60" s="29"/>
    </row>
    <row r="61" spans="1:11" hidden="1" x14ac:dyDescent="0.35">
      <c r="B61" s="29" t="s">
        <v>1399</v>
      </c>
      <c r="C61" s="35" t="s">
        <v>759</v>
      </c>
      <c r="E61" s="34"/>
      <c r="F61" s="29" t="s">
        <v>693</v>
      </c>
      <c r="I61" s="29" t="s">
        <v>1464</v>
      </c>
    </row>
    <row r="62" spans="1:11" hidden="1" x14ac:dyDescent="0.35">
      <c r="B62" s="29" t="s">
        <v>1398</v>
      </c>
      <c r="C62" s="35" t="s">
        <v>759</v>
      </c>
      <c r="E62" s="34"/>
      <c r="F62" s="29" t="s">
        <v>693</v>
      </c>
      <c r="I62" s="29" t="s">
        <v>1464</v>
      </c>
      <c r="K62" s="29"/>
    </row>
    <row r="63" spans="1:11" hidden="1" x14ac:dyDescent="0.35">
      <c r="A63" s="29" t="s">
        <v>744</v>
      </c>
      <c r="B63" s="29" t="s">
        <v>1402</v>
      </c>
      <c r="C63" s="35" t="s">
        <v>759</v>
      </c>
      <c r="E63" s="34"/>
      <c r="F63" s="29" t="s">
        <v>693</v>
      </c>
      <c r="I63" s="29" t="s">
        <v>1468</v>
      </c>
      <c r="K63" s="29"/>
    </row>
    <row r="64" spans="1:11" hidden="1" x14ac:dyDescent="0.35">
      <c r="A64" s="29" t="s">
        <v>799</v>
      </c>
      <c r="B64" s="29" t="s">
        <v>1409</v>
      </c>
      <c r="C64" s="35" t="s">
        <v>759</v>
      </c>
      <c r="E64" s="34"/>
      <c r="F64" s="29" t="s">
        <v>693</v>
      </c>
      <c r="I64" s="29" t="s">
        <v>1464</v>
      </c>
    </row>
    <row r="65" spans="1:11" hidden="1" x14ac:dyDescent="0.35">
      <c r="A65" s="29" t="s">
        <v>793</v>
      </c>
      <c r="B65" s="29" t="s">
        <v>1400</v>
      </c>
      <c r="C65" s="35" t="s">
        <v>759</v>
      </c>
      <c r="E65" s="34"/>
      <c r="F65" s="29" t="s">
        <v>693</v>
      </c>
      <c r="I65" s="29" t="s">
        <v>1464</v>
      </c>
    </row>
    <row r="66" spans="1:11" x14ac:dyDescent="0.35">
      <c r="B66" s="29" t="s">
        <v>1411</v>
      </c>
      <c r="C66" s="35" t="s">
        <v>768</v>
      </c>
      <c r="D66" s="29" t="s">
        <v>696</v>
      </c>
      <c r="E66" s="29" t="s">
        <v>1102</v>
      </c>
      <c r="F66" s="29" t="s">
        <v>693</v>
      </c>
      <c r="G66" s="29" t="s">
        <v>725</v>
      </c>
      <c r="H66" s="34" t="s">
        <v>1778</v>
      </c>
      <c r="I66" s="29" t="s">
        <v>1411</v>
      </c>
      <c r="K66" s="29"/>
    </row>
    <row r="67" spans="1:11" x14ac:dyDescent="0.35">
      <c r="A67" s="29" t="s">
        <v>18</v>
      </c>
      <c r="B67" s="29" t="s">
        <v>1404</v>
      </c>
      <c r="C67" s="35" t="s">
        <v>768</v>
      </c>
      <c r="D67" s="29" t="s">
        <v>696</v>
      </c>
      <c r="E67" s="29" t="s">
        <v>1102</v>
      </c>
      <c r="F67" s="29" t="s">
        <v>693</v>
      </c>
      <c r="G67" s="29" t="s">
        <v>745</v>
      </c>
      <c r="H67" s="34" t="s">
        <v>1778</v>
      </c>
      <c r="I67" s="29" t="s">
        <v>1241</v>
      </c>
      <c r="K67" s="29"/>
    </row>
    <row r="68" spans="1:11" x14ac:dyDescent="0.35">
      <c r="A68" s="34"/>
      <c r="B68" s="29" t="s">
        <v>1641</v>
      </c>
      <c r="C68" s="35" t="s">
        <v>768</v>
      </c>
      <c r="D68" s="29" t="s">
        <v>696</v>
      </c>
      <c r="E68" s="29" t="s">
        <v>1102</v>
      </c>
      <c r="F68" s="29" t="s">
        <v>693</v>
      </c>
      <c r="G68" s="29" t="s">
        <v>747</v>
      </c>
      <c r="H68" s="34" t="s">
        <v>1778</v>
      </c>
      <c r="I68" s="29" t="s">
        <v>1242</v>
      </c>
      <c r="K68" s="29"/>
    </row>
    <row r="69" spans="1:11" x14ac:dyDescent="0.35">
      <c r="A69" s="29" t="s">
        <v>19</v>
      </c>
      <c r="B69" s="29" t="s">
        <v>1405</v>
      </c>
      <c r="C69" s="35" t="s">
        <v>768</v>
      </c>
      <c r="D69" s="29" t="s">
        <v>696</v>
      </c>
      <c r="E69" s="29" t="s">
        <v>1102</v>
      </c>
      <c r="F69" s="29" t="s">
        <v>693</v>
      </c>
      <c r="G69" s="29" t="s">
        <v>747</v>
      </c>
      <c r="H69" s="34" t="s">
        <v>1778</v>
      </c>
      <c r="I69" s="29" t="s">
        <v>1242</v>
      </c>
      <c r="K69" s="29" t="s">
        <v>797</v>
      </c>
    </row>
    <row r="70" spans="1:11" hidden="1" x14ac:dyDescent="0.35">
      <c r="A70" s="29" t="s">
        <v>766</v>
      </c>
      <c r="B70" s="29" t="s">
        <v>1174</v>
      </c>
      <c r="C70" s="35" t="s">
        <v>759</v>
      </c>
      <c r="E70" s="34"/>
      <c r="F70" s="29" t="s">
        <v>693</v>
      </c>
      <c r="I70" s="29" t="s">
        <v>1447</v>
      </c>
    </row>
    <row r="71" spans="1:11" hidden="1" x14ac:dyDescent="0.35">
      <c r="B71" s="29" t="s">
        <v>1183</v>
      </c>
      <c r="C71" s="35" t="s">
        <v>759</v>
      </c>
      <c r="E71" s="34"/>
      <c r="F71" s="29" t="s">
        <v>693</v>
      </c>
      <c r="I71" s="29" t="s">
        <v>1464</v>
      </c>
    </row>
    <row r="72" spans="1:11" hidden="1" x14ac:dyDescent="0.35">
      <c r="A72" s="29" t="s">
        <v>726</v>
      </c>
      <c r="B72" s="29" t="s">
        <v>1370</v>
      </c>
      <c r="C72" s="35" t="s">
        <v>759</v>
      </c>
      <c r="E72" s="34"/>
      <c r="F72" s="29" t="s">
        <v>693</v>
      </c>
      <c r="I72" s="29" t="s">
        <v>1462</v>
      </c>
      <c r="K72" s="29"/>
    </row>
    <row r="73" spans="1:11" x14ac:dyDescent="0.35">
      <c r="B73" s="29" t="s">
        <v>1394</v>
      </c>
      <c r="C73" s="35" t="s">
        <v>768</v>
      </c>
      <c r="D73" s="29" t="s">
        <v>696</v>
      </c>
      <c r="E73" s="29" t="s">
        <v>1102</v>
      </c>
      <c r="F73" s="29" t="s">
        <v>693</v>
      </c>
      <c r="G73" s="29" t="s">
        <v>700</v>
      </c>
      <c r="H73" s="34" t="s">
        <v>1778</v>
      </c>
      <c r="I73" s="29" t="s">
        <v>1394</v>
      </c>
    </row>
    <row r="74" spans="1:11" hidden="1" x14ac:dyDescent="0.35">
      <c r="B74" s="29" t="s">
        <v>1182</v>
      </c>
      <c r="C74" s="35" t="s">
        <v>759</v>
      </c>
      <c r="E74" s="34"/>
      <c r="F74" s="29" t="s">
        <v>693</v>
      </c>
      <c r="I74" s="29" t="s">
        <v>1464</v>
      </c>
    </row>
    <row r="75" spans="1:11" hidden="1" x14ac:dyDescent="0.35">
      <c r="A75" s="29" t="s">
        <v>791</v>
      </c>
      <c r="B75" s="29" t="s">
        <v>1395</v>
      </c>
      <c r="C75" s="35" t="s">
        <v>759</v>
      </c>
      <c r="E75" s="34"/>
      <c r="F75" s="29" t="s">
        <v>693</v>
      </c>
      <c r="I75" s="29" t="s">
        <v>1447</v>
      </c>
      <c r="K75" s="29"/>
    </row>
    <row r="76" spans="1:11" x14ac:dyDescent="0.35">
      <c r="A76" s="29" t="s">
        <v>14</v>
      </c>
      <c r="B76" s="29" t="s">
        <v>1414</v>
      </c>
      <c r="C76" s="35" t="s">
        <v>768</v>
      </c>
      <c r="D76" s="29" t="s">
        <v>696</v>
      </c>
      <c r="E76" s="29" t="s">
        <v>1102</v>
      </c>
      <c r="F76" s="29" t="s">
        <v>693</v>
      </c>
      <c r="G76" s="29" t="s">
        <v>697</v>
      </c>
      <c r="H76" s="34" t="s">
        <v>200</v>
      </c>
      <c r="I76" s="29" t="s">
        <v>1465</v>
      </c>
      <c r="J76" s="29" t="s">
        <v>1470</v>
      </c>
      <c r="K76" s="29"/>
    </row>
    <row r="77" spans="1:11" hidden="1" x14ac:dyDescent="0.35">
      <c r="A77" s="29" t="s">
        <v>794</v>
      </c>
      <c r="B77" s="29" t="s">
        <v>1401</v>
      </c>
      <c r="C77" s="35" t="s">
        <v>759</v>
      </c>
      <c r="E77" s="34"/>
      <c r="F77" s="29" t="s">
        <v>693</v>
      </c>
      <c r="I77" s="29" t="s">
        <v>1464</v>
      </c>
      <c r="K77" s="29"/>
    </row>
    <row r="78" spans="1:11" hidden="1" x14ac:dyDescent="0.35">
      <c r="B78" s="29" t="s">
        <v>1406</v>
      </c>
      <c r="C78" s="35" t="s">
        <v>759</v>
      </c>
      <c r="E78" s="34"/>
      <c r="F78" s="29" t="s">
        <v>693</v>
      </c>
      <c r="I78" s="29" t="s">
        <v>1464</v>
      </c>
      <c r="K78" s="29"/>
    </row>
    <row r="79" spans="1:11" hidden="1" x14ac:dyDescent="0.35">
      <c r="B79" s="29" t="s">
        <v>1377</v>
      </c>
      <c r="C79" s="35" t="s">
        <v>759</v>
      </c>
      <c r="E79" s="34"/>
      <c r="F79" s="29" t="s">
        <v>693</v>
      </c>
      <c r="I79" s="29" t="s">
        <v>1447</v>
      </c>
    </row>
    <row r="80" spans="1:11" hidden="1" x14ac:dyDescent="0.35">
      <c r="A80" s="29" t="s">
        <v>782</v>
      </c>
      <c r="B80" s="29" t="s">
        <v>1382</v>
      </c>
      <c r="C80" s="35" t="s">
        <v>759</v>
      </c>
      <c r="E80" s="34"/>
      <c r="F80" s="29" t="s">
        <v>693</v>
      </c>
      <c r="I80" s="29" t="s">
        <v>1447</v>
      </c>
      <c r="K80" s="29"/>
    </row>
    <row r="81" spans="1:11" x14ac:dyDescent="0.35">
      <c r="B81" s="29" t="s">
        <v>1412</v>
      </c>
      <c r="C81" s="35" t="s">
        <v>768</v>
      </c>
      <c r="D81" s="29" t="s">
        <v>696</v>
      </c>
      <c r="E81" s="29" t="s">
        <v>1102</v>
      </c>
      <c r="F81" s="29" t="s">
        <v>693</v>
      </c>
      <c r="G81" s="29" t="s">
        <v>725</v>
      </c>
      <c r="H81" s="34" t="s">
        <v>1778</v>
      </c>
      <c r="I81" s="29" t="s">
        <v>1412</v>
      </c>
      <c r="K81" t="s">
        <v>801</v>
      </c>
    </row>
    <row r="82" spans="1:11" x14ac:dyDescent="0.35">
      <c r="A82" s="34"/>
      <c r="B82" s="29" t="s">
        <v>1761</v>
      </c>
      <c r="C82" s="35" t="s">
        <v>768</v>
      </c>
      <c r="D82" s="35" t="s">
        <v>696</v>
      </c>
      <c r="E82" s="29" t="s">
        <v>1102</v>
      </c>
      <c r="F82" s="29" t="s">
        <v>693</v>
      </c>
      <c r="G82" s="29" t="s">
        <v>697</v>
      </c>
      <c r="H82" s="34" t="s">
        <v>200</v>
      </c>
      <c r="I82" s="29" t="s">
        <v>1465</v>
      </c>
      <c r="J82" s="29" t="s">
        <v>1469</v>
      </c>
      <c r="K82" s="29" t="s">
        <v>769</v>
      </c>
    </row>
  </sheetData>
  <phoneticPr fontId="3" type="noConversion"/>
  <pageMargins left="0.7" right="0.7" top="0.75" bottom="0.75" header="0.3" footer="0.3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088FD-AEF2-4BD6-AA6A-F590221DA31A}">
  <sheetPr>
    <tabColor theme="7"/>
  </sheetPr>
  <dimension ref="A1:E97"/>
  <sheetViews>
    <sheetView workbookViewId="0"/>
  </sheetViews>
  <sheetFormatPr defaultColWidth="8.81640625" defaultRowHeight="14.5" x14ac:dyDescent="0.35"/>
  <cols>
    <col min="1" max="1" width="4.81640625" bestFit="1" customWidth="1"/>
    <col min="2" max="2" width="13.81640625" bestFit="1" customWidth="1"/>
    <col min="3" max="4" width="17" customWidth="1"/>
    <col min="5" max="5" width="8" bestFit="1" customWidth="1"/>
  </cols>
  <sheetData>
    <row r="1" spans="1:5" x14ac:dyDescent="0.35">
      <c r="A1" t="s">
        <v>679</v>
      </c>
      <c r="B1" t="s">
        <v>803</v>
      </c>
      <c r="C1" t="s">
        <v>804</v>
      </c>
      <c r="D1" t="s">
        <v>805</v>
      </c>
      <c r="E1" t="s">
        <v>121</v>
      </c>
    </row>
    <row r="2" spans="1:5" x14ac:dyDescent="0.35">
      <c r="A2" s="33">
        <v>0</v>
      </c>
      <c r="B2" s="193" t="s">
        <v>806</v>
      </c>
      <c r="C2" s="35"/>
      <c r="D2" t="s">
        <v>807</v>
      </c>
    </row>
    <row r="3" spans="1:5" x14ac:dyDescent="0.35">
      <c r="A3" s="33">
        <v>1</v>
      </c>
      <c r="B3" s="193" t="s">
        <v>808</v>
      </c>
      <c r="C3" s="35"/>
      <c r="D3" t="s">
        <v>807</v>
      </c>
    </row>
    <row r="4" spans="1:5" x14ac:dyDescent="0.35">
      <c r="A4" s="33">
        <v>2</v>
      </c>
      <c r="B4" s="193" t="s">
        <v>809</v>
      </c>
      <c r="C4" s="35"/>
      <c r="D4" t="s">
        <v>807</v>
      </c>
    </row>
    <row r="5" spans="1:5" x14ac:dyDescent="0.35">
      <c r="A5" s="33">
        <v>3</v>
      </c>
      <c r="B5" s="193" t="s">
        <v>810</v>
      </c>
      <c r="C5" s="35"/>
      <c r="D5" t="s">
        <v>807</v>
      </c>
    </row>
    <row r="6" spans="1:5" x14ac:dyDescent="0.35">
      <c r="A6" s="33">
        <v>4</v>
      </c>
      <c r="B6" s="193" t="s">
        <v>811</v>
      </c>
      <c r="C6" s="35"/>
      <c r="D6" t="s">
        <v>807</v>
      </c>
    </row>
    <row r="7" spans="1:5" x14ac:dyDescent="0.35">
      <c r="A7" s="33">
        <v>5</v>
      </c>
      <c r="B7" s="193" t="s">
        <v>812</v>
      </c>
      <c r="C7" s="35"/>
      <c r="D7" t="s">
        <v>807</v>
      </c>
    </row>
    <row r="8" spans="1:5" x14ac:dyDescent="0.35">
      <c r="A8" s="33">
        <v>6</v>
      </c>
      <c r="B8" s="193" t="s">
        <v>813</v>
      </c>
      <c r="C8" s="35"/>
      <c r="D8" t="s">
        <v>807</v>
      </c>
    </row>
    <row r="9" spans="1:5" x14ac:dyDescent="0.35">
      <c r="A9" s="33">
        <v>7</v>
      </c>
      <c r="B9" s="193" t="s">
        <v>814</v>
      </c>
      <c r="C9" s="35"/>
      <c r="D9" t="s">
        <v>807</v>
      </c>
    </row>
    <row r="10" spans="1:5" x14ac:dyDescent="0.35">
      <c r="A10" s="33">
        <v>8</v>
      </c>
      <c r="B10" s="193" t="s">
        <v>815</v>
      </c>
      <c r="C10" s="35"/>
      <c r="D10" t="s">
        <v>807</v>
      </c>
    </row>
    <row r="11" spans="1:5" x14ac:dyDescent="0.35">
      <c r="A11" s="33">
        <v>9</v>
      </c>
      <c r="B11" s="193" t="s">
        <v>816</v>
      </c>
      <c r="C11" s="35"/>
      <c r="D11" t="s">
        <v>807</v>
      </c>
    </row>
    <row r="12" spans="1:5" x14ac:dyDescent="0.35">
      <c r="A12" s="33">
        <v>10</v>
      </c>
      <c r="B12" s="193" t="s">
        <v>817</v>
      </c>
      <c r="C12" s="35"/>
      <c r="D12" t="s">
        <v>807</v>
      </c>
    </row>
    <row r="13" spans="1:5" x14ac:dyDescent="0.35">
      <c r="A13" s="33">
        <v>11</v>
      </c>
      <c r="B13" s="193" t="s">
        <v>818</v>
      </c>
      <c r="C13" s="35"/>
      <c r="D13" t="s">
        <v>807</v>
      </c>
    </row>
    <row r="14" spans="1:5" x14ac:dyDescent="0.35">
      <c r="A14" s="33">
        <v>12</v>
      </c>
      <c r="B14" s="193" t="s">
        <v>819</v>
      </c>
      <c r="C14" s="35"/>
      <c r="D14" t="s">
        <v>807</v>
      </c>
    </row>
    <row r="15" spans="1:5" x14ac:dyDescent="0.35">
      <c r="A15" s="33">
        <v>13</v>
      </c>
      <c r="B15" s="193" t="s">
        <v>820</v>
      </c>
      <c r="C15" s="35"/>
      <c r="D15" t="s">
        <v>807</v>
      </c>
    </row>
    <row r="16" spans="1:5" x14ac:dyDescent="0.35">
      <c r="A16" s="33">
        <v>14</v>
      </c>
      <c r="B16" s="193" t="s">
        <v>821</v>
      </c>
      <c r="C16" s="35"/>
      <c r="D16" t="s">
        <v>807</v>
      </c>
    </row>
    <row r="17" spans="1:4" x14ac:dyDescent="0.35">
      <c r="A17" s="33">
        <v>15</v>
      </c>
      <c r="B17" s="193" t="s">
        <v>822</v>
      </c>
      <c r="C17" s="35"/>
      <c r="D17" t="s">
        <v>807</v>
      </c>
    </row>
    <row r="18" spans="1:4" x14ac:dyDescent="0.35">
      <c r="A18" s="33">
        <v>16</v>
      </c>
      <c r="B18" s="193" t="s">
        <v>823</v>
      </c>
      <c r="C18" s="35"/>
      <c r="D18" t="s">
        <v>807</v>
      </c>
    </row>
    <row r="19" spans="1:4" x14ac:dyDescent="0.35">
      <c r="A19" s="33">
        <v>17</v>
      </c>
      <c r="B19" s="193" t="s">
        <v>824</v>
      </c>
      <c r="C19" s="35"/>
      <c r="D19" t="s">
        <v>807</v>
      </c>
    </row>
    <row r="20" spans="1:4" x14ac:dyDescent="0.35">
      <c r="A20" s="33">
        <v>18</v>
      </c>
      <c r="B20" s="193" t="s">
        <v>825</v>
      </c>
      <c r="C20" s="35"/>
      <c r="D20" t="s">
        <v>807</v>
      </c>
    </row>
    <row r="21" spans="1:4" x14ac:dyDescent="0.35">
      <c r="A21" s="33">
        <v>19</v>
      </c>
      <c r="B21" s="193" t="s">
        <v>826</v>
      </c>
      <c r="C21" s="35"/>
      <c r="D21" t="s">
        <v>807</v>
      </c>
    </row>
    <row r="22" spans="1:4" x14ac:dyDescent="0.35">
      <c r="A22" s="33">
        <v>20</v>
      </c>
      <c r="B22" s="193" t="s">
        <v>827</v>
      </c>
      <c r="C22" s="35"/>
      <c r="D22" t="s">
        <v>807</v>
      </c>
    </row>
    <row r="23" spans="1:4" x14ac:dyDescent="0.35">
      <c r="A23" s="33">
        <v>21</v>
      </c>
      <c r="B23" s="193" t="s">
        <v>828</v>
      </c>
      <c r="C23" s="35"/>
      <c r="D23" t="s">
        <v>807</v>
      </c>
    </row>
    <row r="24" spans="1:4" x14ac:dyDescent="0.35">
      <c r="A24" s="33">
        <v>22</v>
      </c>
      <c r="B24" s="193" t="s">
        <v>829</v>
      </c>
      <c r="C24" s="35"/>
      <c r="D24" t="s">
        <v>807</v>
      </c>
    </row>
    <row r="25" spans="1:4" x14ac:dyDescent="0.35">
      <c r="A25" s="33">
        <v>23</v>
      </c>
      <c r="B25" s="193" t="s">
        <v>830</v>
      </c>
      <c r="C25" s="35" t="s">
        <v>831</v>
      </c>
      <c r="D25" t="s">
        <v>807</v>
      </c>
    </row>
    <row r="26" spans="1:4" x14ac:dyDescent="0.35">
      <c r="A26" s="33">
        <v>24</v>
      </c>
      <c r="B26" s="193" t="s">
        <v>832</v>
      </c>
      <c r="C26" s="35"/>
      <c r="D26" t="s">
        <v>833</v>
      </c>
    </row>
    <row r="27" spans="1:4" x14ac:dyDescent="0.35">
      <c r="A27" s="33">
        <v>25</v>
      </c>
      <c r="B27" s="193" t="s">
        <v>834</v>
      </c>
      <c r="C27" s="35"/>
      <c r="D27" t="s">
        <v>833</v>
      </c>
    </row>
    <row r="28" spans="1:4" x14ac:dyDescent="0.35">
      <c r="A28" s="33">
        <v>26</v>
      </c>
      <c r="B28" s="193" t="s">
        <v>835</v>
      </c>
      <c r="C28" s="35"/>
      <c r="D28" t="s">
        <v>833</v>
      </c>
    </row>
    <row r="29" spans="1:4" x14ac:dyDescent="0.35">
      <c r="A29" s="33">
        <v>27</v>
      </c>
      <c r="B29" s="193" t="s">
        <v>836</v>
      </c>
      <c r="C29" s="35"/>
      <c r="D29" t="s">
        <v>833</v>
      </c>
    </row>
    <row r="30" spans="1:4" x14ac:dyDescent="0.35">
      <c r="A30" s="33">
        <v>28</v>
      </c>
      <c r="B30" s="193" t="s">
        <v>837</v>
      </c>
      <c r="C30" s="35"/>
      <c r="D30" t="s">
        <v>833</v>
      </c>
    </row>
    <row r="31" spans="1:4" x14ac:dyDescent="0.35">
      <c r="A31" s="33">
        <v>29</v>
      </c>
      <c r="B31" s="193" t="s">
        <v>838</v>
      </c>
      <c r="C31" s="35"/>
      <c r="D31" t="s">
        <v>833</v>
      </c>
    </row>
    <row r="32" spans="1:4" x14ac:dyDescent="0.35">
      <c r="A32" s="33">
        <v>30</v>
      </c>
      <c r="B32" s="193" t="s">
        <v>839</v>
      </c>
      <c r="C32" s="35"/>
      <c r="D32" t="s">
        <v>833</v>
      </c>
    </row>
    <row r="33" spans="1:4" x14ac:dyDescent="0.35">
      <c r="A33" s="33">
        <v>31</v>
      </c>
      <c r="B33" s="193" t="s">
        <v>840</v>
      </c>
      <c r="C33" s="35"/>
      <c r="D33" t="s">
        <v>833</v>
      </c>
    </row>
    <row r="34" spans="1:4" x14ac:dyDescent="0.35">
      <c r="A34" s="33">
        <v>32</v>
      </c>
      <c r="B34" s="193" t="s">
        <v>841</v>
      </c>
      <c r="C34" s="35"/>
      <c r="D34" t="s">
        <v>833</v>
      </c>
    </row>
    <row r="35" spans="1:4" x14ac:dyDescent="0.35">
      <c r="A35" s="33">
        <v>33</v>
      </c>
      <c r="B35" s="193" t="s">
        <v>842</v>
      </c>
      <c r="C35" s="35"/>
      <c r="D35" t="s">
        <v>833</v>
      </c>
    </row>
    <row r="36" spans="1:4" x14ac:dyDescent="0.35">
      <c r="A36" s="33">
        <v>34</v>
      </c>
      <c r="B36" s="193" t="s">
        <v>843</v>
      </c>
      <c r="C36" s="35"/>
      <c r="D36" t="s">
        <v>833</v>
      </c>
    </row>
    <row r="37" spans="1:4" x14ac:dyDescent="0.35">
      <c r="A37" s="33">
        <v>35</v>
      </c>
      <c r="B37" s="193" t="s">
        <v>844</v>
      </c>
      <c r="C37" s="35"/>
      <c r="D37" t="s">
        <v>833</v>
      </c>
    </row>
    <row r="38" spans="1:4" x14ac:dyDescent="0.35">
      <c r="A38" s="33">
        <v>36</v>
      </c>
      <c r="B38" s="193" t="s">
        <v>845</v>
      </c>
      <c r="C38" s="35"/>
      <c r="D38" t="s">
        <v>833</v>
      </c>
    </row>
    <row r="39" spans="1:4" x14ac:dyDescent="0.35">
      <c r="A39" s="33">
        <v>37</v>
      </c>
      <c r="B39" s="193" t="s">
        <v>846</v>
      </c>
      <c r="C39" s="35"/>
      <c r="D39" t="s">
        <v>833</v>
      </c>
    </row>
    <row r="40" spans="1:4" x14ac:dyDescent="0.35">
      <c r="A40" s="33">
        <v>38</v>
      </c>
      <c r="B40" s="193" t="s">
        <v>847</v>
      </c>
      <c r="C40" s="35"/>
      <c r="D40" t="s">
        <v>833</v>
      </c>
    </row>
    <row r="41" spans="1:4" x14ac:dyDescent="0.35">
      <c r="A41" s="33">
        <v>39</v>
      </c>
      <c r="B41" s="193" t="s">
        <v>848</v>
      </c>
      <c r="C41" s="35"/>
      <c r="D41" t="s">
        <v>833</v>
      </c>
    </row>
    <row r="42" spans="1:4" x14ac:dyDescent="0.35">
      <c r="A42" s="33">
        <v>40</v>
      </c>
      <c r="B42" s="193" t="s">
        <v>849</v>
      </c>
      <c r="C42" s="35"/>
      <c r="D42" t="s">
        <v>833</v>
      </c>
    </row>
    <row r="43" spans="1:4" x14ac:dyDescent="0.35">
      <c r="A43" s="33">
        <v>41</v>
      </c>
      <c r="B43" s="193" t="s">
        <v>850</v>
      </c>
      <c r="C43" s="35"/>
      <c r="D43" t="s">
        <v>833</v>
      </c>
    </row>
    <row r="44" spans="1:4" x14ac:dyDescent="0.35">
      <c r="A44" s="33">
        <v>42</v>
      </c>
      <c r="B44" s="193" t="s">
        <v>851</v>
      </c>
      <c r="C44" s="35"/>
      <c r="D44" t="s">
        <v>833</v>
      </c>
    </row>
    <row r="45" spans="1:4" x14ac:dyDescent="0.35">
      <c r="A45" s="33">
        <v>43</v>
      </c>
      <c r="B45" s="193" t="s">
        <v>852</v>
      </c>
      <c r="C45" s="35"/>
      <c r="D45" t="s">
        <v>833</v>
      </c>
    </row>
    <row r="46" spans="1:4" x14ac:dyDescent="0.35">
      <c r="A46" s="33">
        <v>44</v>
      </c>
      <c r="B46" s="193" t="s">
        <v>853</v>
      </c>
      <c r="C46" s="35"/>
      <c r="D46" t="s">
        <v>833</v>
      </c>
    </row>
    <row r="47" spans="1:4" x14ac:dyDescent="0.35">
      <c r="A47" s="33">
        <v>45</v>
      </c>
      <c r="B47" s="193" t="s">
        <v>854</v>
      </c>
      <c r="C47" s="35"/>
      <c r="D47" t="s">
        <v>833</v>
      </c>
    </row>
    <row r="48" spans="1:4" x14ac:dyDescent="0.35">
      <c r="A48" s="33">
        <v>46</v>
      </c>
      <c r="B48" s="193" t="s">
        <v>855</v>
      </c>
      <c r="C48" s="35"/>
      <c r="D48" t="s">
        <v>833</v>
      </c>
    </row>
    <row r="49" spans="1:4" x14ac:dyDescent="0.35">
      <c r="A49" s="33">
        <v>47</v>
      </c>
      <c r="B49" s="193" t="s">
        <v>856</v>
      </c>
      <c r="C49" s="35" t="s">
        <v>831</v>
      </c>
      <c r="D49" t="s">
        <v>833</v>
      </c>
    </row>
    <row r="50" spans="1:4" x14ac:dyDescent="0.35">
      <c r="A50" s="33">
        <v>48</v>
      </c>
      <c r="B50" s="193" t="s">
        <v>857</v>
      </c>
      <c r="C50" s="35"/>
      <c r="D50" t="s">
        <v>858</v>
      </c>
    </row>
    <row r="51" spans="1:4" x14ac:dyDescent="0.35">
      <c r="A51" s="33">
        <v>49</v>
      </c>
      <c r="B51" s="193" t="s">
        <v>859</v>
      </c>
      <c r="C51" s="35"/>
      <c r="D51" t="s">
        <v>858</v>
      </c>
    </row>
    <row r="52" spans="1:4" x14ac:dyDescent="0.35">
      <c r="A52" s="33">
        <v>50</v>
      </c>
      <c r="B52" s="193" t="s">
        <v>860</v>
      </c>
      <c r="C52" s="35"/>
      <c r="D52" t="s">
        <v>858</v>
      </c>
    </row>
    <row r="53" spans="1:4" x14ac:dyDescent="0.35">
      <c r="A53" s="33">
        <v>51</v>
      </c>
      <c r="B53" s="193" t="s">
        <v>861</v>
      </c>
      <c r="C53" s="35"/>
      <c r="D53" t="s">
        <v>858</v>
      </c>
    </row>
    <row r="54" spans="1:4" x14ac:dyDescent="0.35">
      <c r="A54" s="33">
        <v>52</v>
      </c>
      <c r="B54" s="193" t="s">
        <v>862</v>
      </c>
      <c r="C54" s="35"/>
      <c r="D54" t="s">
        <v>858</v>
      </c>
    </row>
    <row r="55" spans="1:4" x14ac:dyDescent="0.35">
      <c r="A55" s="33">
        <v>53</v>
      </c>
      <c r="B55" s="193" t="s">
        <v>863</v>
      </c>
      <c r="C55" s="35"/>
      <c r="D55" t="s">
        <v>858</v>
      </c>
    </row>
    <row r="56" spans="1:4" x14ac:dyDescent="0.35">
      <c r="A56" s="33">
        <v>54</v>
      </c>
      <c r="B56" s="193" t="s">
        <v>864</v>
      </c>
      <c r="C56" s="35"/>
      <c r="D56" t="s">
        <v>858</v>
      </c>
    </row>
    <row r="57" spans="1:4" x14ac:dyDescent="0.35">
      <c r="A57" s="33">
        <v>55</v>
      </c>
      <c r="B57" s="193" t="s">
        <v>865</v>
      </c>
      <c r="C57" s="35"/>
      <c r="D57" t="s">
        <v>858</v>
      </c>
    </row>
    <row r="58" spans="1:4" x14ac:dyDescent="0.35">
      <c r="A58" s="33">
        <v>56</v>
      </c>
      <c r="B58" s="193" t="s">
        <v>866</v>
      </c>
      <c r="C58" s="35"/>
      <c r="D58" t="s">
        <v>858</v>
      </c>
    </row>
    <row r="59" spans="1:4" x14ac:dyDescent="0.35">
      <c r="A59" s="33">
        <v>57</v>
      </c>
      <c r="B59" s="193" t="s">
        <v>867</v>
      </c>
      <c r="C59" s="35"/>
      <c r="D59" t="s">
        <v>858</v>
      </c>
    </row>
    <row r="60" spans="1:4" x14ac:dyDescent="0.35">
      <c r="A60" s="33">
        <v>58</v>
      </c>
      <c r="B60" s="193" t="s">
        <v>868</v>
      </c>
      <c r="C60" s="35"/>
      <c r="D60" t="s">
        <v>858</v>
      </c>
    </row>
    <row r="61" spans="1:4" x14ac:dyDescent="0.35">
      <c r="A61" s="33">
        <v>59</v>
      </c>
      <c r="B61" s="193" t="s">
        <v>869</v>
      </c>
      <c r="C61" s="35"/>
      <c r="D61" t="s">
        <v>858</v>
      </c>
    </row>
    <row r="62" spans="1:4" x14ac:dyDescent="0.35">
      <c r="A62" s="33">
        <v>60</v>
      </c>
      <c r="B62" s="193" t="s">
        <v>870</v>
      </c>
      <c r="C62" s="35"/>
      <c r="D62" t="s">
        <v>858</v>
      </c>
    </row>
    <row r="63" spans="1:4" x14ac:dyDescent="0.35">
      <c r="A63" s="33">
        <v>61</v>
      </c>
      <c r="B63" s="193" t="s">
        <v>871</v>
      </c>
      <c r="C63" s="35"/>
      <c r="D63" t="s">
        <v>858</v>
      </c>
    </row>
    <row r="64" spans="1:4" x14ac:dyDescent="0.35">
      <c r="A64" s="33">
        <v>62</v>
      </c>
      <c r="B64" s="193" t="s">
        <v>872</v>
      </c>
      <c r="C64" s="35"/>
      <c r="D64" t="s">
        <v>858</v>
      </c>
    </row>
    <row r="65" spans="1:4" x14ac:dyDescent="0.35">
      <c r="A65" s="33">
        <v>63</v>
      </c>
      <c r="B65" s="193" t="s">
        <v>873</v>
      </c>
      <c r="C65" s="35"/>
      <c r="D65" t="s">
        <v>858</v>
      </c>
    </row>
    <row r="66" spans="1:4" x14ac:dyDescent="0.35">
      <c r="A66" s="33">
        <v>64</v>
      </c>
      <c r="B66" s="193" t="s">
        <v>874</v>
      </c>
      <c r="C66" s="35"/>
      <c r="D66" t="s">
        <v>858</v>
      </c>
    </row>
    <row r="67" spans="1:4" x14ac:dyDescent="0.35">
      <c r="A67" s="33">
        <v>65</v>
      </c>
      <c r="B67" s="193" t="s">
        <v>875</v>
      </c>
      <c r="C67" s="35"/>
      <c r="D67" t="s">
        <v>858</v>
      </c>
    </row>
    <row r="68" spans="1:4" x14ac:dyDescent="0.35">
      <c r="A68" s="33">
        <v>66</v>
      </c>
      <c r="B68" s="193" t="s">
        <v>876</v>
      </c>
      <c r="C68" s="35"/>
      <c r="D68" t="s">
        <v>858</v>
      </c>
    </row>
    <row r="69" spans="1:4" x14ac:dyDescent="0.35">
      <c r="A69" s="33">
        <v>67</v>
      </c>
      <c r="B69" s="193" t="s">
        <v>877</v>
      </c>
      <c r="C69" s="35"/>
      <c r="D69" t="s">
        <v>858</v>
      </c>
    </row>
    <row r="70" spans="1:4" x14ac:dyDescent="0.35">
      <c r="A70" s="33">
        <v>68</v>
      </c>
      <c r="B70" s="193" t="s">
        <v>878</v>
      </c>
      <c r="C70" s="35"/>
      <c r="D70" t="s">
        <v>858</v>
      </c>
    </row>
    <row r="71" spans="1:4" x14ac:dyDescent="0.35">
      <c r="A71" s="33">
        <v>69</v>
      </c>
      <c r="B71" s="193" t="s">
        <v>879</v>
      </c>
      <c r="C71" s="35"/>
      <c r="D71" t="s">
        <v>858</v>
      </c>
    </row>
    <row r="72" spans="1:4" x14ac:dyDescent="0.35">
      <c r="A72" s="33">
        <v>70</v>
      </c>
      <c r="B72" s="193" t="s">
        <v>880</v>
      </c>
      <c r="C72" s="35"/>
      <c r="D72" t="s">
        <v>858</v>
      </c>
    </row>
    <row r="73" spans="1:4" x14ac:dyDescent="0.35">
      <c r="A73" s="33">
        <v>71</v>
      </c>
      <c r="B73" s="193" t="s">
        <v>881</v>
      </c>
      <c r="C73" s="35" t="s">
        <v>831</v>
      </c>
      <c r="D73" t="s">
        <v>858</v>
      </c>
    </row>
    <row r="74" spans="1:4" x14ac:dyDescent="0.35">
      <c r="A74" s="33">
        <v>72</v>
      </c>
      <c r="B74" s="193" t="s">
        <v>882</v>
      </c>
      <c r="C74" s="35"/>
      <c r="D74" t="s">
        <v>883</v>
      </c>
    </row>
    <row r="75" spans="1:4" x14ac:dyDescent="0.35">
      <c r="A75" s="33">
        <v>73</v>
      </c>
      <c r="B75" s="193" t="s">
        <v>884</v>
      </c>
      <c r="C75" s="35"/>
      <c r="D75" t="s">
        <v>883</v>
      </c>
    </row>
    <row r="76" spans="1:4" x14ac:dyDescent="0.35">
      <c r="A76" s="33">
        <v>74</v>
      </c>
      <c r="B76" s="193" t="s">
        <v>885</v>
      </c>
      <c r="C76" s="35"/>
      <c r="D76" t="s">
        <v>883</v>
      </c>
    </row>
    <row r="77" spans="1:4" x14ac:dyDescent="0.35">
      <c r="A77" s="33">
        <v>75</v>
      </c>
      <c r="B77" s="193" t="s">
        <v>886</v>
      </c>
      <c r="C77" s="35"/>
      <c r="D77" t="s">
        <v>883</v>
      </c>
    </row>
    <row r="78" spans="1:4" x14ac:dyDescent="0.35">
      <c r="A78" s="33">
        <v>76</v>
      </c>
      <c r="B78" s="193" t="s">
        <v>887</v>
      </c>
      <c r="C78" s="35"/>
      <c r="D78" t="s">
        <v>883</v>
      </c>
    </row>
    <row r="79" spans="1:4" x14ac:dyDescent="0.35">
      <c r="A79" s="33">
        <v>77</v>
      </c>
      <c r="B79" s="193" t="s">
        <v>888</v>
      </c>
      <c r="C79" s="35"/>
      <c r="D79" t="s">
        <v>883</v>
      </c>
    </row>
    <row r="80" spans="1:4" x14ac:dyDescent="0.35">
      <c r="A80" s="33">
        <v>78</v>
      </c>
      <c r="B80" s="193" t="s">
        <v>889</v>
      </c>
      <c r="C80" s="35"/>
      <c r="D80" t="s">
        <v>883</v>
      </c>
    </row>
    <row r="81" spans="1:4" x14ac:dyDescent="0.35">
      <c r="A81" s="33">
        <v>79</v>
      </c>
      <c r="B81" s="193" t="s">
        <v>890</v>
      </c>
      <c r="C81" s="35"/>
      <c r="D81" t="s">
        <v>883</v>
      </c>
    </row>
    <row r="82" spans="1:4" x14ac:dyDescent="0.35">
      <c r="A82" s="33">
        <v>80</v>
      </c>
      <c r="B82" s="193" t="s">
        <v>891</v>
      </c>
      <c r="C82" s="35"/>
      <c r="D82" t="s">
        <v>883</v>
      </c>
    </row>
    <row r="83" spans="1:4" x14ac:dyDescent="0.35">
      <c r="A83" s="33">
        <v>81</v>
      </c>
      <c r="B83" s="193" t="s">
        <v>892</v>
      </c>
      <c r="C83" s="35"/>
      <c r="D83" t="s">
        <v>883</v>
      </c>
    </row>
    <row r="84" spans="1:4" x14ac:dyDescent="0.35">
      <c r="A84" s="33">
        <v>82</v>
      </c>
      <c r="B84" s="193" t="s">
        <v>893</v>
      </c>
      <c r="C84" s="35"/>
      <c r="D84" t="s">
        <v>883</v>
      </c>
    </row>
    <row r="85" spans="1:4" x14ac:dyDescent="0.35">
      <c r="A85" s="33">
        <v>83</v>
      </c>
      <c r="B85" s="193" t="s">
        <v>894</v>
      </c>
      <c r="C85" s="35"/>
      <c r="D85" t="s">
        <v>883</v>
      </c>
    </row>
    <row r="86" spans="1:4" x14ac:dyDescent="0.35">
      <c r="A86" s="33">
        <v>84</v>
      </c>
      <c r="B86" s="193" t="s">
        <v>895</v>
      </c>
      <c r="C86" s="35"/>
      <c r="D86" t="s">
        <v>883</v>
      </c>
    </row>
    <row r="87" spans="1:4" x14ac:dyDescent="0.35">
      <c r="A87" s="33">
        <v>85</v>
      </c>
      <c r="B87" s="193" t="s">
        <v>896</v>
      </c>
      <c r="C87" s="35"/>
      <c r="D87" t="s">
        <v>883</v>
      </c>
    </row>
    <row r="88" spans="1:4" x14ac:dyDescent="0.35">
      <c r="A88" s="33">
        <v>86</v>
      </c>
      <c r="B88" s="193" t="s">
        <v>897</v>
      </c>
      <c r="C88" s="35"/>
      <c r="D88" t="s">
        <v>883</v>
      </c>
    </row>
    <row r="89" spans="1:4" x14ac:dyDescent="0.35">
      <c r="A89" s="33">
        <v>87</v>
      </c>
      <c r="B89" s="193" t="s">
        <v>898</v>
      </c>
      <c r="C89" s="35"/>
      <c r="D89" t="s">
        <v>883</v>
      </c>
    </row>
    <row r="90" spans="1:4" x14ac:dyDescent="0.35">
      <c r="A90" s="33">
        <v>88</v>
      </c>
      <c r="B90" s="193" t="s">
        <v>899</v>
      </c>
      <c r="C90" s="35"/>
      <c r="D90" t="s">
        <v>883</v>
      </c>
    </row>
    <row r="91" spans="1:4" x14ac:dyDescent="0.35">
      <c r="A91" s="33">
        <v>89</v>
      </c>
      <c r="B91" s="193" t="s">
        <v>900</v>
      </c>
      <c r="C91" s="35"/>
      <c r="D91" t="s">
        <v>883</v>
      </c>
    </row>
    <row r="92" spans="1:4" x14ac:dyDescent="0.35">
      <c r="A92" s="33">
        <v>90</v>
      </c>
      <c r="B92" s="193" t="s">
        <v>901</v>
      </c>
      <c r="C92" s="35"/>
      <c r="D92" t="s">
        <v>883</v>
      </c>
    </row>
    <row r="93" spans="1:4" x14ac:dyDescent="0.35">
      <c r="A93" s="33">
        <v>91</v>
      </c>
      <c r="B93" s="193" t="s">
        <v>902</v>
      </c>
      <c r="C93" s="35"/>
      <c r="D93" t="s">
        <v>883</v>
      </c>
    </row>
    <row r="94" spans="1:4" x14ac:dyDescent="0.35">
      <c r="A94" s="33">
        <v>92</v>
      </c>
      <c r="B94" s="193" t="s">
        <v>903</v>
      </c>
      <c r="C94" s="35"/>
      <c r="D94" t="s">
        <v>883</v>
      </c>
    </row>
    <row r="95" spans="1:4" x14ac:dyDescent="0.35">
      <c r="A95" s="33">
        <v>93</v>
      </c>
      <c r="B95" s="193" t="s">
        <v>904</v>
      </c>
      <c r="C95" s="35"/>
      <c r="D95" t="s">
        <v>883</v>
      </c>
    </row>
    <row r="96" spans="1:4" x14ac:dyDescent="0.35">
      <c r="A96" s="33">
        <v>94</v>
      </c>
      <c r="B96" s="193" t="s">
        <v>905</v>
      </c>
      <c r="C96" s="35"/>
      <c r="D96" t="s">
        <v>883</v>
      </c>
    </row>
    <row r="97" spans="1:4" x14ac:dyDescent="0.35">
      <c r="A97" s="33">
        <v>95</v>
      </c>
      <c r="B97" s="193" t="s">
        <v>906</v>
      </c>
      <c r="C97" s="35" t="s">
        <v>831</v>
      </c>
      <c r="D97" t="s">
        <v>883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F1117-86D3-4FF0-8FBF-1C2B1982998F}">
  <sheetPr>
    <tabColor theme="7"/>
  </sheetPr>
  <dimension ref="A1:F6"/>
  <sheetViews>
    <sheetView workbookViewId="0"/>
  </sheetViews>
  <sheetFormatPr defaultColWidth="8.81640625" defaultRowHeight="14.5" x14ac:dyDescent="0.35"/>
  <cols>
    <col min="1" max="1" width="10" customWidth="1"/>
    <col min="2" max="2" width="27.453125" customWidth="1"/>
    <col min="3" max="3" width="19" bestFit="1" customWidth="1"/>
    <col min="4" max="4" width="27.453125" customWidth="1"/>
    <col min="5" max="5" width="32.453125" bestFit="1" customWidth="1"/>
  </cols>
  <sheetData>
    <row r="1" spans="1:6" x14ac:dyDescent="0.35">
      <c r="A1" t="s">
        <v>679</v>
      </c>
      <c r="B1" t="s">
        <v>910</v>
      </c>
      <c r="C1" t="s">
        <v>911</v>
      </c>
      <c r="D1" s="30" t="s">
        <v>912</v>
      </c>
      <c r="E1" s="30" t="s">
        <v>913</v>
      </c>
      <c r="F1" t="s">
        <v>121</v>
      </c>
    </row>
    <row r="2" spans="1:6" x14ac:dyDescent="0.35">
      <c r="A2" s="29"/>
      <c r="B2" t="s">
        <v>1416</v>
      </c>
      <c r="C2" t="s">
        <v>915</v>
      </c>
      <c r="D2" t="s">
        <v>916</v>
      </c>
      <c r="E2" s="29" t="s">
        <v>1003</v>
      </c>
      <c r="F2" s="29"/>
    </row>
    <row r="3" spans="1:6" x14ac:dyDescent="0.35">
      <c r="A3" s="29"/>
      <c r="B3" t="s">
        <v>1417</v>
      </c>
      <c r="C3" t="s">
        <v>915</v>
      </c>
      <c r="D3" t="s">
        <v>917</v>
      </c>
      <c r="E3" s="29"/>
      <c r="F3" s="29"/>
    </row>
    <row r="4" spans="1:6" x14ac:dyDescent="0.35">
      <c r="A4" s="29"/>
      <c r="B4" t="s">
        <v>1365</v>
      </c>
      <c r="C4" t="s">
        <v>697</v>
      </c>
      <c r="D4" t="s">
        <v>914</v>
      </c>
      <c r="E4" s="29"/>
      <c r="F4" s="29"/>
    </row>
    <row r="5" spans="1:6" x14ac:dyDescent="0.35">
      <c r="A5" s="29"/>
      <c r="B5" t="s">
        <v>1375</v>
      </c>
      <c r="C5" t="s">
        <v>697</v>
      </c>
      <c r="D5" t="s">
        <v>914</v>
      </c>
      <c r="E5" s="29"/>
      <c r="F5" s="29"/>
    </row>
    <row r="6" spans="1:6" x14ac:dyDescent="0.35">
      <c r="A6" s="29"/>
      <c r="B6" t="s">
        <v>1387</v>
      </c>
      <c r="C6" t="s">
        <v>697</v>
      </c>
      <c r="D6" t="s">
        <v>914</v>
      </c>
      <c r="E6" s="29"/>
      <c r="F6" s="29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5A044-B7F2-43D0-93EF-F8B8B8F8630C}">
  <sheetPr>
    <tabColor theme="7"/>
  </sheetPr>
  <dimension ref="A1:F62"/>
  <sheetViews>
    <sheetView workbookViewId="0"/>
  </sheetViews>
  <sheetFormatPr defaultColWidth="8.81640625" defaultRowHeight="14.5" x14ac:dyDescent="0.35"/>
  <cols>
    <col min="1" max="1" width="14.453125" customWidth="1"/>
    <col min="2" max="2" width="13.453125" customWidth="1"/>
    <col min="3" max="3" width="18.81640625" bestFit="1" customWidth="1"/>
    <col min="4" max="5" width="18.81640625" customWidth="1"/>
    <col min="6" max="6" width="7.81640625" bestFit="1" customWidth="1"/>
  </cols>
  <sheetData>
    <row r="1" spans="1:6" x14ac:dyDescent="0.35">
      <c r="A1" t="s">
        <v>679</v>
      </c>
      <c r="B1" t="s">
        <v>907</v>
      </c>
      <c r="C1" t="s">
        <v>908</v>
      </c>
      <c r="D1" t="s">
        <v>1582</v>
      </c>
      <c r="E1" t="s">
        <v>1758</v>
      </c>
      <c r="F1" t="s">
        <v>121</v>
      </c>
    </row>
    <row r="2" spans="1:6" x14ac:dyDescent="0.35">
      <c r="A2" s="32">
        <v>36526</v>
      </c>
      <c r="B2" s="31">
        <v>2000</v>
      </c>
      <c r="C2" t="s">
        <v>232</v>
      </c>
      <c r="E2" t="s">
        <v>232</v>
      </c>
    </row>
    <row r="3" spans="1:6" x14ac:dyDescent="0.35">
      <c r="A3" s="32">
        <v>36892</v>
      </c>
      <c r="B3" s="31">
        <v>2001</v>
      </c>
      <c r="C3" t="s">
        <v>232</v>
      </c>
      <c r="E3" t="s">
        <v>232</v>
      </c>
    </row>
    <row r="4" spans="1:6" x14ac:dyDescent="0.35">
      <c r="A4" s="32">
        <v>37257</v>
      </c>
      <c r="B4" s="31">
        <v>2002</v>
      </c>
      <c r="C4" t="s">
        <v>232</v>
      </c>
      <c r="E4" t="s">
        <v>232</v>
      </c>
    </row>
    <row r="5" spans="1:6" x14ac:dyDescent="0.35">
      <c r="A5" s="32">
        <v>37622</v>
      </c>
      <c r="B5" s="31">
        <v>2003</v>
      </c>
      <c r="C5" t="s">
        <v>232</v>
      </c>
      <c r="E5" t="s">
        <v>232</v>
      </c>
    </row>
    <row r="6" spans="1:6" x14ac:dyDescent="0.35">
      <c r="A6" s="32">
        <v>37987</v>
      </c>
      <c r="B6" s="31">
        <v>2004</v>
      </c>
      <c r="C6" t="s">
        <v>232</v>
      </c>
      <c r="E6" t="s">
        <v>232</v>
      </c>
    </row>
    <row r="7" spans="1:6" x14ac:dyDescent="0.35">
      <c r="A7" s="32">
        <v>38353</v>
      </c>
      <c r="B7" s="31">
        <v>2005</v>
      </c>
      <c r="C7" t="s">
        <v>232</v>
      </c>
      <c r="E7" t="s">
        <v>232</v>
      </c>
    </row>
    <row r="8" spans="1:6" x14ac:dyDescent="0.35">
      <c r="A8" s="32">
        <v>38718</v>
      </c>
      <c r="B8" s="31">
        <v>2006</v>
      </c>
      <c r="C8" t="s">
        <v>232</v>
      </c>
      <c r="E8" t="s">
        <v>232</v>
      </c>
    </row>
    <row r="9" spans="1:6" x14ac:dyDescent="0.35">
      <c r="A9" s="32">
        <v>39083</v>
      </c>
      <c r="B9" s="31">
        <v>2007</v>
      </c>
      <c r="C9" t="s">
        <v>232</v>
      </c>
      <c r="E9" t="s">
        <v>232</v>
      </c>
    </row>
    <row r="10" spans="1:6" x14ac:dyDescent="0.35">
      <c r="A10" s="32">
        <v>39448</v>
      </c>
      <c r="B10" s="31">
        <v>2008</v>
      </c>
      <c r="C10" t="s">
        <v>232</v>
      </c>
      <c r="E10" t="s">
        <v>232</v>
      </c>
    </row>
    <row r="11" spans="1:6" x14ac:dyDescent="0.35">
      <c r="A11" s="32">
        <v>39814</v>
      </c>
      <c r="B11" s="31">
        <v>2009</v>
      </c>
      <c r="C11" t="s">
        <v>232</v>
      </c>
      <c r="E11" t="s">
        <v>232</v>
      </c>
    </row>
    <row r="12" spans="1:6" x14ac:dyDescent="0.35">
      <c r="A12" s="32">
        <v>40179</v>
      </c>
      <c r="B12" s="31">
        <v>2010</v>
      </c>
      <c r="C12" t="s">
        <v>232</v>
      </c>
      <c r="E12" t="s">
        <v>232</v>
      </c>
    </row>
    <row r="13" spans="1:6" x14ac:dyDescent="0.35">
      <c r="A13" s="32">
        <v>40544</v>
      </c>
      <c r="B13" s="31">
        <v>2011</v>
      </c>
      <c r="C13" t="s">
        <v>232</v>
      </c>
      <c r="E13" t="s">
        <v>232</v>
      </c>
    </row>
    <row r="14" spans="1:6" x14ac:dyDescent="0.35">
      <c r="A14" s="32">
        <v>40909</v>
      </c>
      <c r="B14" s="31">
        <v>2012</v>
      </c>
      <c r="C14" t="s">
        <v>232</v>
      </c>
      <c r="E14" t="s">
        <v>232</v>
      </c>
    </row>
    <row r="15" spans="1:6" x14ac:dyDescent="0.35">
      <c r="A15" s="32">
        <v>41275</v>
      </c>
      <c r="B15" s="31">
        <v>2013</v>
      </c>
      <c r="C15" t="s">
        <v>232</v>
      </c>
      <c r="E15" t="s">
        <v>232</v>
      </c>
    </row>
    <row r="16" spans="1:6" x14ac:dyDescent="0.35">
      <c r="A16" s="32">
        <v>41640</v>
      </c>
      <c r="B16" s="31">
        <v>2014</v>
      </c>
      <c r="C16" t="s">
        <v>232</v>
      </c>
      <c r="E16" t="s">
        <v>232</v>
      </c>
    </row>
    <row r="17" spans="1:5" x14ac:dyDescent="0.35">
      <c r="A17" s="32">
        <v>42005</v>
      </c>
      <c r="B17" s="31">
        <v>2015</v>
      </c>
      <c r="C17" t="s">
        <v>232</v>
      </c>
      <c r="E17" t="s">
        <v>232</v>
      </c>
    </row>
    <row r="18" spans="1:5" x14ac:dyDescent="0.35">
      <c r="A18" s="32">
        <v>42370</v>
      </c>
      <c r="B18" s="31">
        <v>2016</v>
      </c>
      <c r="C18" t="s">
        <v>232</v>
      </c>
      <c r="E18" t="s">
        <v>232</v>
      </c>
    </row>
    <row r="19" spans="1:5" x14ac:dyDescent="0.35">
      <c r="A19" s="32">
        <v>42736</v>
      </c>
      <c r="B19" s="31">
        <v>2017</v>
      </c>
      <c r="C19" t="s">
        <v>232</v>
      </c>
      <c r="E19" t="s">
        <v>232</v>
      </c>
    </row>
    <row r="20" spans="1:5" x14ac:dyDescent="0.35">
      <c r="A20" s="32">
        <v>43101</v>
      </c>
      <c r="B20" s="31">
        <v>2018</v>
      </c>
      <c r="C20" t="s">
        <v>232</v>
      </c>
      <c r="E20" t="s">
        <v>232</v>
      </c>
    </row>
    <row r="21" spans="1:5" x14ac:dyDescent="0.35">
      <c r="A21" s="32">
        <v>43466</v>
      </c>
      <c r="B21" s="31">
        <v>2019</v>
      </c>
      <c r="C21" t="s">
        <v>232</v>
      </c>
      <c r="E21" t="s">
        <v>232</v>
      </c>
    </row>
    <row r="22" spans="1:5" x14ac:dyDescent="0.35">
      <c r="A22" s="32">
        <v>43831</v>
      </c>
      <c r="B22" s="31">
        <v>2020</v>
      </c>
      <c r="C22" t="s">
        <v>232</v>
      </c>
      <c r="E22" t="s">
        <v>232</v>
      </c>
    </row>
    <row r="23" spans="1:5" x14ac:dyDescent="0.35">
      <c r="A23" s="32">
        <v>44197</v>
      </c>
      <c r="B23" s="31">
        <v>2021</v>
      </c>
      <c r="C23" t="s">
        <v>232</v>
      </c>
      <c r="E23" t="s">
        <v>232</v>
      </c>
    </row>
    <row r="24" spans="1:5" x14ac:dyDescent="0.35">
      <c r="A24" s="32">
        <v>44562</v>
      </c>
      <c r="B24" s="31">
        <v>2022</v>
      </c>
      <c r="C24" t="s">
        <v>232</v>
      </c>
      <c r="E24" t="s">
        <v>232</v>
      </c>
    </row>
    <row r="25" spans="1:5" x14ac:dyDescent="0.35">
      <c r="A25" s="32">
        <v>44927</v>
      </c>
      <c r="B25" s="31">
        <v>2023</v>
      </c>
      <c r="C25" t="s">
        <v>232</v>
      </c>
      <c r="E25" t="s">
        <v>232</v>
      </c>
    </row>
    <row r="26" spans="1:5" x14ac:dyDescent="0.35">
      <c r="A26" s="32">
        <v>45292</v>
      </c>
      <c r="B26" s="31">
        <v>2024</v>
      </c>
      <c r="C26" t="s">
        <v>909</v>
      </c>
      <c r="E26" t="s">
        <v>909</v>
      </c>
    </row>
    <row r="27" spans="1:5" x14ac:dyDescent="0.35">
      <c r="A27" s="32">
        <v>45658</v>
      </c>
      <c r="B27" s="31">
        <v>2025</v>
      </c>
      <c r="C27" t="s">
        <v>909</v>
      </c>
      <c r="D27" s="35" t="s">
        <v>200</v>
      </c>
      <c r="E27" t="s">
        <v>909</v>
      </c>
    </row>
    <row r="28" spans="1:5" x14ac:dyDescent="0.35">
      <c r="A28" s="32">
        <v>46023</v>
      </c>
      <c r="B28" s="31">
        <v>2026</v>
      </c>
      <c r="C28" t="s">
        <v>909</v>
      </c>
      <c r="D28" s="35" t="s">
        <v>200</v>
      </c>
      <c r="E28" t="s">
        <v>909</v>
      </c>
    </row>
    <row r="29" spans="1:5" x14ac:dyDescent="0.35">
      <c r="A29" s="32">
        <v>46388</v>
      </c>
      <c r="B29" s="31">
        <v>2027</v>
      </c>
      <c r="C29" t="s">
        <v>909</v>
      </c>
      <c r="D29" s="35" t="s">
        <v>200</v>
      </c>
      <c r="E29" t="s">
        <v>909</v>
      </c>
    </row>
    <row r="30" spans="1:5" x14ac:dyDescent="0.35">
      <c r="A30" s="32">
        <v>46753</v>
      </c>
      <c r="B30" s="31">
        <v>2028</v>
      </c>
      <c r="C30" t="s">
        <v>909</v>
      </c>
      <c r="D30" s="35" t="s">
        <v>200</v>
      </c>
      <c r="E30" t="s">
        <v>909</v>
      </c>
    </row>
    <row r="31" spans="1:5" x14ac:dyDescent="0.35">
      <c r="A31" s="32">
        <v>47119</v>
      </c>
      <c r="B31" s="31">
        <v>2029</v>
      </c>
      <c r="C31" t="s">
        <v>909</v>
      </c>
      <c r="D31" s="35" t="s">
        <v>200</v>
      </c>
      <c r="E31" t="s">
        <v>1750</v>
      </c>
    </row>
    <row r="32" spans="1:5" x14ac:dyDescent="0.35">
      <c r="A32" s="32">
        <v>47484</v>
      </c>
      <c r="B32" s="31">
        <v>2030</v>
      </c>
      <c r="C32" t="s">
        <v>909</v>
      </c>
      <c r="D32" s="35" t="s">
        <v>200</v>
      </c>
      <c r="E32" t="s">
        <v>1750</v>
      </c>
    </row>
    <row r="33" spans="1:5" x14ac:dyDescent="0.35">
      <c r="A33" s="32">
        <v>47849</v>
      </c>
      <c r="B33" s="31">
        <v>2031</v>
      </c>
      <c r="C33" t="s">
        <v>909</v>
      </c>
      <c r="D33" s="35" t="s">
        <v>200</v>
      </c>
      <c r="E33" t="s">
        <v>1750</v>
      </c>
    </row>
    <row r="34" spans="1:5" x14ac:dyDescent="0.35">
      <c r="A34" s="32">
        <v>48214</v>
      </c>
      <c r="B34" s="31">
        <v>2032</v>
      </c>
      <c r="C34" t="s">
        <v>909</v>
      </c>
      <c r="D34" s="35" t="s">
        <v>200</v>
      </c>
      <c r="E34" t="s">
        <v>1750</v>
      </c>
    </row>
    <row r="35" spans="1:5" x14ac:dyDescent="0.35">
      <c r="A35" s="32">
        <v>48580</v>
      </c>
      <c r="B35" s="31">
        <v>2033</v>
      </c>
      <c r="C35" t="s">
        <v>909</v>
      </c>
      <c r="D35" s="35" t="s">
        <v>200</v>
      </c>
      <c r="E35" t="s">
        <v>1750</v>
      </c>
    </row>
    <row r="36" spans="1:5" x14ac:dyDescent="0.35">
      <c r="A36" s="32">
        <v>48945</v>
      </c>
      <c r="B36" s="31">
        <v>2034</v>
      </c>
      <c r="C36" t="s">
        <v>909</v>
      </c>
      <c r="D36" s="35" t="s">
        <v>200</v>
      </c>
      <c r="E36" t="s">
        <v>1750</v>
      </c>
    </row>
    <row r="37" spans="1:5" x14ac:dyDescent="0.35">
      <c r="A37" s="32">
        <v>49310</v>
      </c>
      <c r="B37" s="31">
        <v>2035</v>
      </c>
      <c r="C37" t="s">
        <v>909</v>
      </c>
      <c r="D37" s="35" t="s">
        <v>200</v>
      </c>
      <c r="E37" t="s">
        <v>1750</v>
      </c>
    </row>
    <row r="38" spans="1:5" x14ac:dyDescent="0.35">
      <c r="A38" s="32">
        <v>49675</v>
      </c>
      <c r="B38" s="31">
        <v>2036</v>
      </c>
      <c r="C38" t="s">
        <v>909</v>
      </c>
      <c r="D38" s="35" t="s">
        <v>200</v>
      </c>
      <c r="E38" t="s">
        <v>1750</v>
      </c>
    </row>
    <row r="39" spans="1:5" x14ac:dyDescent="0.35">
      <c r="A39" s="32">
        <v>50041</v>
      </c>
      <c r="B39" s="31">
        <v>2037</v>
      </c>
      <c r="C39" t="s">
        <v>909</v>
      </c>
      <c r="D39" s="35" t="s">
        <v>200</v>
      </c>
      <c r="E39" t="s">
        <v>1750</v>
      </c>
    </row>
    <row r="40" spans="1:5" x14ac:dyDescent="0.35">
      <c r="A40" s="32">
        <v>50406</v>
      </c>
      <c r="B40" s="31">
        <v>2038</v>
      </c>
      <c r="C40" t="s">
        <v>909</v>
      </c>
      <c r="D40" s="35" t="s">
        <v>200</v>
      </c>
      <c r="E40" t="s">
        <v>1750</v>
      </c>
    </row>
    <row r="41" spans="1:5" x14ac:dyDescent="0.35">
      <c r="A41" s="32">
        <v>50771</v>
      </c>
      <c r="B41" s="31">
        <v>2039</v>
      </c>
      <c r="C41" t="s">
        <v>909</v>
      </c>
      <c r="D41" s="35" t="s">
        <v>200</v>
      </c>
      <c r="E41" t="s">
        <v>1750</v>
      </c>
    </row>
    <row r="42" spans="1:5" x14ac:dyDescent="0.35">
      <c r="A42" s="32">
        <v>51136</v>
      </c>
      <c r="B42" s="31">
        <v>2040</v>
      </c>
      <c r="C42" t="s">
        <v>909</v>
      </c>
      <c r="D42" s="35" t="s">
        <v>200</v>
      </c>
      <c r="E42" t="s">
        <v>1750</v>
      </c>
    </row>
    <row r="43" spans="1:5" x14ac:dyDescent="0.35">
      <c r="A43" s="32">
        <v>51502</v>
      </c>
      <c r="B43" s="31">
        <v>2041</v>
      </c>
      <c r="C43" t="s">
        <v>909</v>
      </c>
      <c r="D43" s="35" t="s">
        <v>200</v>
      </c>
      <c r="E43" t="s">
        <v>1750</v>
      </c>
    </row>
    <row r="44" spans="1:5" x14ac:dyDescent="0.35">
      <c r="A44" s="32">
        <v>51867</v>
      </c>
      <c r="B44" s="31">
        <v>2042</v>
      </c>
      <c r="C44" t="s">
        <v>909</v>
      </c>
      <c r="D44" s="35" t="s">
        <v>200</v>
      </c>
      <c r="E44" t="s">
        <v>1750</v>
      </c>
    </row>
    <row r="45" spans="1:5" x14ac:dyDescent="0.35">
      <c r="A45" s="32">
        <v>52232</v>
      </c>
      <c r="B45" s="31">
        <v>2043</v>
      </c>
      <c r="C45" t="s">
        <v>909</v>
      </c>
      <c r="D45" s="35" t="s">
        <v>200</v>
      </c>
      <c r="E45" t="s">
        <v>1750</v>
      </c>
    </row>
    <row r="46" spans="1:5" x14ac:dyDescent="0.35">
      <c r="A46" s="32">
        <v>52597</v>
      </c>
      <c r="B46" s="31">
        <v>2044</v>
      </c>
      <c r="C46" t="s">
        <v>909</v>
      </c>
      <c r="D46" s="35" t="s">
        <v>200</v>
      </c>
      <c r="E46" t="s">
        <v>1750</v>
      </c>
    </row>
    <row r="47" spans="1:5" x14ac:dyDescent="0.35">
      <c r="A47" s="32">
        <v>52963</v>
      </c>
      <c r="B47" s="31">
        <v>2045</v>
      </c>
      <c r="C47" t="s">
        <v>909</v>
      </c>
      <c r="D47" s="35" t="s">
        <v>200</v>
      </c>
      <c r="E47" t="s">
        <v>1750</v>
      </c>
    </row>
    <row r="48" spans="1:5" x14ac:dyDescent="0.35">
      <c r="A48" s="32">
        <v>53328</v>
      </c>
      <c r="B48" s="31">
        <v>2046</v>
      </c>
      <c r="C48" t="s">
        <v>909</v>
      </c>
      <c r="D48" s="35" t="s">
        <v>200</v>
      </c>
      <c r="E48" t="s">
        <v>1750</v>
      </c>
    </row>
    <row r="49" spans="1:5" x14ac:dyDescent="0.35">
      <c r="A49" s="32">
        <v>53693</v>
      </c>
      <c r="B49" s="31">
        <v>2047</v>
      </c>
      <c r="C49" t="s">
        <v>909</v>
      </c>
      <c r="D49" s="35" t="s">
        <v>200</v>
      </c>
      <c r="E49" t="s">
        <v>1750</v>
      </c>
    </row>
    <row r="50" spans="1:5" x14ac:dyDescent="0.35">
      <c r="A50" s="32">
        <v>54058</v>
      </c>
      <c r="B50" s="31">
        <v>2048</v>
      </c>
      <c r="C50" t="s">
        <v>909</v>
      </c>
      <c r="D50" s="35" t="s">
        <v>200</v>
      </c>
      <c r="E50" t="s">
        <v>1750</v>
      </c>
    </row>
    <row r="51" spans="1:5" x14ac:dyDescent="0.35">
      <c r="A51" s="32">
        <v>54424</v>
      </c>
      <c r="B51" s="31">
        <v>2049</v>
      </c>
      <c r="C51" t="s">
        <v>909</v>
      </c>
      <c r="D51" s="35" t="s">
        <v>200</v>
      </c>
      <c r="E51" t="s">
        <v>1750</v>
      </c>
    </row>
    <row r="52" spans="1:5" x14ac:dyDescent="0.35">
      <c r="A52" s="32">
        <v>54789</v>
      </c>
      <c r="B52" s="31">
        <v>2050</v>
      </c>
      <c r="C52" t="s">
        <v>909</v>
      </c>
      <c r="D52" s="35" t="s">
        <v>200</v>
      </c>
      <c r="E52" t="s">
        <v>1750</v>
      </c>
    </row>
    <row r="53" spans="1:5" x14ac:dyDescent="0.35">
      <c r="A53" s="32">
        <v>55154</v>
      </c>
      <c r="B53" s="31">
        <v>2051</v>
      </c>
      <c r="C53" t="s">
        <v>909</v>
      </c>
      <c r="E53" t="s">
        <v>1750</v>
      </c>
    </row>
    <row r="54" spans="1:5" x14ac:dyDescent="0.35">
      <c r="A54" s="32">
        <v>55519</v>
      </c>
      <c r="B54" s="31">
        <v>2052</v>
      </c>
      <c r="C54" t="s">
        <v>909</v>
      </c>
      <c r="E54" t="s">
        <v>1750</v>
      </c>
    </row>
    <row r="55" spans="1:5" x14ac:dyDescent="0.35">
      <c r="A55" s="32">
        <v>55885</v>
      </c>
      <c r="B55" s="31">
        <v>2053</v>
      </c>
      <c r="C55" t="s">
        <v>909</v>
      </c>
      <c r="E55" t="s">
        <v>1750</v>
      </c>
    </row>
    <row r="56" spans="1:5" x14ac:dyDescent="0.35">
      <c r="A56" s="32">
        <v>56250</v>
      </c>
      <c r="B56" s="31">
        <v>2054</v>
      </c>
      <c r="C56" t="s">
        <v>909</v>
      </c>
      <c r="E56" t="s">
        <v>1750</v>
      </c>
    </row>
    <row r="57" spans="1:5" x14ac:dyDescent="0.35">
      <c r="A57" s="32">
        <v>56615</v>
      </c>
      <c r="B57" s="31">
        <v>2055</v>
      </c>
      <c r="C57" t="s">
        <v>909</v>
      </c>
      <c r="E57" t="s">
        <v>1750</v>
      </c>
    </row>
    <row r="58" spans="1:5" x14ac:dyDescent="0.35">
      <c r="A58" s="32">
        <v>56980</v>
      </c>
      <c r="B58" s="31">
        <v>2056</v>
      </c>
      <c r="C58" t="s">
        <v>909</v>
      </c>
      <c r="E58" t="s">
        <v>1750</v>
      </c>
    </row>
    <row r="59" spans="1:5" x14ac:dyDescent="0.35">
      <c r="A59" s="32">
        <v>57346</v>
      </c>
      <c r="B59" s="31">
        <v>2057</v>
      </c>
      <c r="C59" t="s">
        <v>909</v>
      </c>
      <c r="E59" t="s">
        <v>1750</v>
      </c>
    </row>
    <row r="60" spans="1:5" x14ac:dyDescent="0.35">
      <c r="A60" s="32">
        <v>57711</v>
      </c>
      <c r="B60" s="31">
        <v>2058</v>
      </c>
      <c r="C60" t="s">
        <v>909</v>
      </c>
      <c r="E60" t="s">
        <v>1750</v>
      </c>
    </row>
    <row r="61" spans="1:5" x14ac:dyDescent="0.35">
      <c r="A61" s="32">
        <v>58076</v>
      </c>
      <c r="B61" s="31">
        <v>2059</v>
      </c>
      <c r="C61" t="s">
        <v>909</v>
      </c>
      <c r="E61" t="s">
        <v>1750</v>
      </c>
    </row>
    <row r="62" spans="1:5" x14ac:dyDescent="0.35">
      <c r="A62" s="32">
        <v>58441</v>
      </c>
      <c r="B62" s="31">
        <v>2060</v>
      </c>
      <c r="C62" t="s">
        <v>909</v>
      </c>
      <c r="E62" t="s">
        <v>1750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C3B0-5F31-42D9-8DEF-BB56724DD653}">
  <sheetPr>
    <tabColor theme="7"/>
  </sheetPr>
  <dimension ref="A1:D7"/>
  <sheetViews>
    <sheetView workbookViewId="0"/>
  </sheetViews>
  <sheetFormatPr defaultColWidth="8.81640625" defaultRowHeight="14.5" x14ac:dyDescent="0.35"/>
  <cols>
    <col min="1" max="1" width="8.453125" customWidth="1"/>
    <col min="2" max="2" width="28.453125" bestFit="1" customWidth="1"/>
    <col min="3" max="3" width="20.453125" bestFit="1" customWidth="1"/>
  </cols>
  <sheetData>
    <row r="1" spans="1:4" x14ac:dyDescent="0.35">
      <c r="A1" s="29" t="s">
        <v>679</v>
      </c>
      <c r="B1" s="29" t="s">
        <v>931</v>
      </c>
      <c r="C1" s="35" t="s">
        <v>932</v>
      </c>
      <c r="D1" s="35" t="s">
        <v>121</v>
      </c>
    </row>
    <row r="2" spans="1:4" x14ac:dyDescent="0.35">
      <c r="A2" s="35"/>
      <c r="B2" s="29" t="s">
        <v>933</v>
      </c>
      <c r="C2" t="s">
        <v>308</v>
      </c>
    </row>
    <row r="3" spans="1:4" x14ac:dyDescent="0.35">
      <c r="A3" s="35"/>
      <c r="B3" s="29" t="s">
        <v>934</v>
      </c>
      <c r="C3" t="s">
        <v>311</v>
      </c>
    </row>
    <row r="4" spans="1:4" x14ac:dyDescent="0.35">
      <c r="A4" s="35"/>
      <c r="B4" s="29" t="s">
        <v>935</v>
      </c>
      <c r="C4" t="s">
        <v>314</v>
      </c>
    </row>
    <row r="5" spans="1:4" x14ac:dyDescent="0.35">
      <c r="A5" s="35"/>
      <c r="B5" s="29" t="s">
        <v>936</v>
      </c>
      <c r="C5" t="s">
        <v>317</v>
      </c>
    </row>
    <row r="6" spans="1:4" x14ac:dyDescent="0.35">
      <c r="A6" s="35"/>
      <c r="B6" s="29" t="s">
        <v>937</v>
      </c>
      <c r="C6" t="s">
        <v>320</v>
      </c>
    </row>
    <row r="7" spans="1:4" x14ac:dyDescent="0.35">
      <c r="A7" s="35"/>
      <c r="B7" s="29" t="s">
        <v>938</v>
      </c>
      <c r="C7" t="s">
        <v>270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FB6C7-49FF-416B-9176-CD9E70D6ABBA}">
  <sheetPr>
    <tabColor theme="7"/>
  </sheetPr>
  <dimension ref="A1:D19"/>
  <sheetViews>
    <sheetView workbookViewId="0"/>
  </sheetViews>
  <sheetFormatPr defaultColWidth="8.81640625" defaultRowHeight="14.5" x14ac:dyDescent="0.35"/>
  <cols>
    <col min="1" max="1" width="8.453125" customWidth="1"/>
    <col min="2" max="2" width="46.453125" bestFit="1" customWidth="1"/>
    <col min="3" max="3" width="27.453125" customWidth="1"/>
  </cols>
  <sheetData>
    <row r="1" spans="1:4" x14ac:dyDescent="0.35">
      <c r="A1" s="29" t="s">
        <v>679</v>
      </c>
      <c r="B1" s="29" t="s">
        <v>918</v>
      </c>
      <c r="C1" s="35" t="s">
        <v>919</v>
      </c>
      <c r="D1" s="35" t="s">
        <v>121</v>
      </c>
    </row>
    <row r="2" spans="1:4" x14ac:dyDescent="0.35">
      <c r="A2" s="33"/>
      <c r="B2" s="29" t="s">
        <v>920</v>
      </c>
      <c r="C2" t="s">
        <v>264</v>
      </c>
    </row>
    <row r="3" spans="1:4" x14ac:dyDescent="0.35">
      <c r="A3" s="35"/>
      <c r="B3" s="29" t="s">
        <v>921</v>
      </c>
      <c r="C3" t="s">
        <v>267</v>
      </c>
    </row>
    <row r="4" spans="1:4" x14ac:dyDescent="0.35">
      <c r="A4" s="35"/>
      <c r="B4" s="29" t="s">
        <v>922</v>
      </c>
      <c r="C4" t="s">
        <v>270</v>
      </c>
    </row>
    <row r="5" spans="1:4" x14ac:dyDescent="0.35">
      <c r="A5" s="35"/>
      <c r="B5" s="29" t="s">
        <v>923</v>
      </c>
      <c r="C5" t="s">
        <v>278</v>
      </c>
    </row>
    <row r="6" spans="1:4" x14ac:dyDescent="0.35">
      <c r="A6" s="35"/>
      <c r="B6" s="29" t="s">
        <v>924</v>
      </c>
      <c r="C6" t="s">
        <v>273</v>
      </c>
    </row>
    <row r="7" spans="1:4" x14ac:dyDescent="0.35">
      <c r="A7" s="35"/>
      <c r="B7" s="29" t="s">
        <v>925</v>
      </c>
      <c r="C7" t="s">
        <v>276</v>
      </c>
    </row>
    <row r="8" spans="1:4" x14ac:dyDescent="0.35">
      <c r="A8" s="35"/>
      <c r="B8" s="29" t="s">
        <v>926</v>
      </c>
      <c r="C8" t="s">
        <v>298</v>
      </c>
    </row>
    <row r="9" spans="1:4" x14ac:dyDescent="0.35">
      <c r="A9" s="35"/>
      <c r="B9" s="29" t="s">
        <v>927</v>
      </c>
      <c r="C9" t="s">
        <v>301</v>
      </c>
    </row>
    <row r="10" spans="1:4" x14ac:dyDescent="0.35">
      <c r="A10" s="35"/>
      <c r="B10" s="29" t="s">
        <v>928</v>
      </c>
      <c r="C10" t="s">
        <v>3</v>
      </c>
    </row>
    <row r="11" spans="1:4" x14ac:dyDescent="0.35">
      <c r="A11" s="35"/>
      <c r="B11" s="29" t="s">
        <v>929</v>
      </c>
      <c r="C11" t="s">
        <v>303</v>
      </c>
    </row>
    <row r="12" spans="1:4" x14ac:dyDescent="0.35">
      <c r="A12" s="35"/>
      <c r="B12" s="29" t="s">
        <v>930</v>
      </c>
      <c r="C12" t="s">
        <v>360</v>
      </c>
    </row>
    <row r="13" spans="1:4" x14ac:dyDescent="0.35">
      <c r="A13" s="35"/>
      <c r="B13" s="29" t="s">
        <v>1138</v>
      </c>
      <c r="C13" t="s">
        <v>287</v>
      </c>
    </row>
    <row r="14" spans="1:4" x14ac:dyDescent="0.35">
      <c r="A14" s="35"/>
      <c r="B14" s="29" t="s">
        <v>1136</v>
      </c>
      <c r="C14" t="s">
        <v>290</v>
      </c>
    </row>
    <row r="15" spans="1:4" x14ac:dyDescent="0.35">
      <c r="A15" s="35"/>
      <c r="B15" s="29" t="s">
        <v>1137</v>
      </c>
      <c r="C15" t="s">
        <v>293</v>
      </c>
    </row>
    <row r="16" spans="1:4" x14ac:dyDescent="0.35">
      <c r="A16" s="35"/>
      <c r="B16" s="29" t="s">
        <v>1134</v>
      </c>
      <c r="C16" t="s">
        <v>281</v>
      </c>
    </row>
    <row r="17" spans="1:3" x14ac:dyDescent="0.35">
      <c r="A17" s="35"/>
      <c r="B17" s="29" t="s">
        <v>1135</v>
      </c>
      <c r="C17" t="s">
        <v>284</v>
      </c>
    </row>
    <row r="18" spans="1:3" x14ac:dyDescent="0.35">
      <c r="A18" s="35"/>
      <c r="B18" s="29" t="s">
        <v>1094</v>
      </c>
      <c r="C18" t="s">
        <v>1092</v>
      </c>
    </row>
    <row r="19" spans="1:3" x14ac:dyDescent="0.35">
      <c r="A19" s="35"/>
      <c r="B19" s="29" t="s">
        <v>1095</v>
      </c>
      <c r="C19" t="s">
        <v>1091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C48C-1BD5-4A4C-90E7-44B055B47B31}">
  <sheetPr>
    <tabColor theme="7"/>
  </sheetPr>
  <dimension ref="A1:D3"/>
  <sheetViews>
    <sheetView workbookViewId="0"/>
  </sheetViews>
  <sheetFormatPr defaultColWidth="8.81640625" defaultRowHeight="14.5" x14ac:dyDescent="0.35"/>
  <cols>
    <col min="1" max="1" width="8.453125" customWidth="1"/>
    <col min="2" max="2" width="28.453125" bestFit="1" customWidth="1"/>
    <col min="3" max="3" width="27.453125" customWidth="1"/>
  </cols>
  <sheetData>
    <row r="1" spans="1:4" x14ac:dyDescent="0.35">
      <c r="A1" s="29" t="s">
        <v>679</v>
      </c>
      <c r="B1" s="29" t="s">
        <v>939</v>
      </c>
      <c r="C1" s="35" t="s">
        <v>940</v>
      </c>
      <c r="D1" s="35" t="s">
        <v>121</v>
      </c>
    </row>
    <row r="2" spans="1:4" x14ac:dyDescent="0.35">
      <c r="A2" s="33"/>
      <c r="B2" s="29" t="s">
        <v>941</v>
      </c>
      <c r="C2" t="s">
        <v>942</v>
      </c>
    </row>
    <row r="3" spans="1:4" x14ac:dyDescent="0.35">
      <c r="A3" s="35"/>
      <c r="B3" s="29" t="s">
        <v>943</v>
      </c>
      <c r="C3" t="s">
        <v>944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D037-0554-428B-91A2-9DC3BEF09D4D}">
  <sheetPr>
    <tabColor theme="7"/>
  </sheetPr>
  <dimension ref="A1:E12"/>
  <sheetViews>
    <sheetView workbookViewId="0">
      <selection activeCell="N16" sqref="N16"/>
    </sheetView>
  </sheetViews>
  <sheetFormatPr defaultColWidth="8.81640625" defaultRowHeight="14.5" x14ac:dyDescent="0.35"/>
  <cols>
    <col min="1" max="1" width="8.453125" customWidth="1"/>
    <col min="2" max="2" width="41.1796875" bestFit="1" customWidth="1"/>
    <col min="3" max="3" width="18.81640625" bestFit="1" customWidth="1"/>
    <col min="4" max="4" width="18.81640625" customWidth="1"/>
  </cols>
  <sheetData>
    <row r="1" spans="1:5" x14ac:dyDescent="0.35">
      <c r="A1" s="29" t="s">
        <v>679</v>
      </c>
      <c r="B1" s="29" t="s">
        <v>945</v>
      </c>
      <c r="C1" s="35" t="s">
        <v>946</v>
      </c>
      <c r="D1" s="35" t="s">
        <v>972</v>
      </c>
      <c r="E1" s="35" t="s">
        <v>121</v>
      </c>
    </row>
    <row r="2" spans="1:5" x14ac:dyDescent="0.35">
      <c r="A2" s="35"/>
      <c r="B2" s="29" t="s">
        <v>947</v>
      </c>
      <c r="C2" t="s">
        <v>327</v>
      </c>
      <c r="D2" t="s">
        <v>693</v>
      </c>
    </row>
    <row r="3" spans="1:5" x14ac:dyDescent="0.35">
      <c r="A3" s="35"/>
      <c r="B3" s="29" t="s">
        <v>948</v>
      </c>
      <c r="C3" t="s">
        <v>329</v>
      </c>
      <c r="D3" t="s">
        <v>693</v>
      </c>
    </row>
    <row r="4" spans="1:5" x14ac:dyDescent="0.35">
      <c r="A4" s="35"/>
      <c r="B4" s="29" t="s">
        <v>949</v>
      </c>
      <c r="C4" t="s">
        <v>335</v>
      </c>
      <c r="D4" t="s">
        <v>693</v>
      </c>
    </row>
    <row r="5" spans="1:5" x14ac:dyDescent="0.35">
      <c r="A5" s="35"/>
      <c r="B5" s="29" t="s">
        <v>950</v>
      </c>
      <c r="C5" t="s">
        <v>331</v>
      </c>
      <c r="D5" t="s">
        <v>693</v>
      </c>
    </row>
    <row r="6" spans="1:5" x14ac:dyDescent="0.35">
      <c r="A6" s="35"/>
      <c r="B6" s="29" t="s">
        <v>1049</v>
      </c>
      <c r="C6" t="s">
        <v>1051</v>
      </c>
      <c r="D6" t="s">
        <v>693</v>
      </c>
    </row>
    <row r="7" spans="1:5" x14ac:dyDescent="0.35">
      <c r="A7" s="35"/>
      <c r="B7" s="29" t="s">
        <v>1050</v>
      </c>
      <c r="C7" t="s">
        <v>1052</v>
      </c>
      <c r="D7" t="s">
        <v>693</v>
      </c>
    </row>
    <row r="8" spans="1:5" x14ac:dyDescent="0.35">
      <c r="A8" s="35"/>
      <c r="B8" s="29" t="s">
        <v>1054</v>
      </c>
      <c r="C8" t="s">
        <v>1056</v>
      </c>
      <c r="D8" t="s">
        <v>693</v>
      </c>
    </row>
    <row r="9" spans="1:5" x14ac:dyDescent="0.35">
      <c r="A9" s="35"/>
      <c r="B9" s="29" t="s">
        <v>1055</v>
      </c>
      <c r="C9" t="s">
        <v>1057</v>
      </c>
      <c r="D9" t="s">
        <v>693</v>
      </c>
    </row>
    <row r="10" spans="1:5" x14ac:dyDescent="0.35">
      <c r="A10" s="35"/>
      <c r="B10" s="29" t="s">
        <v>1053</v>
      </c>
      <c r="C10" t="s">
        <v>231</v>
      </c>
      <c r="D10" t="s">
        <v>693</v>
      </c>
    </row>
    <row r="11" spans="1:5" x14ac:dyDescent="0.35">
      <c r="A11" s="36"/>
      <c r="B11" s="34" t="s">
        <v>1807</v>
      </c>
      <c r="C11" s="204" t="s">
        <v>1808</v>
      </c>
      <c r="D11" s="204" t="s">
        <v>693</v>
      </c>
      <c r="E11" s="204"/>
    </row>
    <row r="12" spans="1:5" x14ac:dyDescent="0.35">
      <c r="A12" s="36"/>
      <c r="B12" s="34" t="s">
        <v>1820</v>
      </c>
      <c r="C12" s="204" t="s">
        <v>1821</v>
      </c>
      <c r="D12" s="204" t="s">
        <v>693</v>
      </c>
      <c r="E12" s="204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6C8B-112C-4FD9-AE38-1D1811EF5884}">
  <sheetPr>
    <tabColor theme="7"/>
  </sheetPr>
  <dimension ref="A1:D15"/>
  <sheetViews>
    <sheetView workbookViewId="0"/>
  </sheetViews>
  <sheetFormatPr defaultColWidth="8.81640625" defaultRowHeight="14.5" x14ac:dyDescent="0.35"/>
  <cols>
    <col min="1" max="1" width="8.453125" customWidth="1"/>
    <col min="2" max="2" width="51.1796875" bestFit="1" customWidth="1"/>
    <col min="3" max="3" width="18.81640625" bestFit="1" customWidth="1"/>
  </cols>
  <sheetData>
    <row r="1" spans="1:4" x14ac:dyDescent="0.35">
      <c r="A1" s="29" t="s">
        <v>679</v>
      </c>
      <c r="B1" s="29" t="s">
        <v>951</v>
      </c>
      <c r="C1" s="35" t="s">
        <v>952</v>
      </c>
      <c r="D1" s="35" t="s">
        <v>121</v>
      </c>
    </row>
    <row r="2" spans="1:4" x14ac:dyDescent="0.35">
      <c r="A2" s="35"/>
      <c r="B2" s="29" t="s">
        <v>953</v>
      </c>
      <c r="C2" t="s">
        <v>954</v>
      </c>
    </row>
    <row r="3" spans="1:4" x14ac:dyDescent="0.35">
      <c r="A3" s="35"/>
      <c r="B3" s="29" t="s">
        <v>955</v>
      </c>
      <c r="C3" t="s">
        <v>956</v>
      </c>
    </row>
    <row r="4" spans="1:4" x14ac:dyDescent="0.35">
      <c r="A4" s="35"/>
      <c r="B4" s="29" t="s">
        <v>957</v>
      </c>
      <c r="C4" t="s">
        <v>958</v>
      </c>
    </row>
    <row r="5" spans="1:4" x14ac:dyDescent="0.35">
      <c r="A5" s="35"/>
      <c r="B5" s="29" t="s">
        <v>959</v>
      </c>
      <c r="C5" t="s">
        <v>960</v>
      </c>
    </row>
    <row r="6" spans="1:4" x14ac:dyDescent="0.35">
      <c r="A6" s="35"/>
      <c r="B6" s="29" t="s">
        <v>961</v>
      </c>
      <c r="C6" t="s">
        <v>440</v>
      </c>
    </row>
    <row r="7" spans="1:4" x14ac:dyDescent="0.35">
      <c r="A7" s="35"/>
      <c r="B7" s="29" t="s">
        <v>962</v>
      </c>
      <c r="C7" t="s">
        <v>442</v>
      </c>
    </row>
    <row r="8" spans="1:4" x14ac:dyDescent="0.35">
      <c r="A8" s="35"/>
      <c r="B8" s="29" t="s">
        <v>1536</v>
      </c>
      <c r="C8" t="s">
        <v>1530</v>
      </c>
    </row>
    <row r="9" spans="1:4" x14ac:dyDescent="0.35">
      <c r="A9" s="35"/>
      <c r="B9" s="34" t="s">
        <v>1734</v>
      </c>
      <c r="C9" s="204" t="s">
        <v>1733</v>
      </c>
    </row>
    <row r="10" spans="1:4" x14ac:dyDescent="0.35">
      <c r="A10" s="35"/>
      <c r="B10" s="34" t="s">
        <v>1735</v>
      </c>
      <c r="C10" s="204" t="s">
        <v>1691</v>
      </c>
    </row>
    <row r="11" spans="1:4" x14ac:dyDescent="0.35">
      <c r="A11" s="35"/>
      <c r="B11" s="29" t="s">
        <v>1537</v>
      </c>
      <c r="C11" t="s">
        <v>1531</v>
      </c>
    </row>
    <row r="12" spans="1:4" x14ac:dyDescent="0.35">
      <c r="A12" s="35"/>
      <c r="B12" s="29" t="s">
        <v>1538</v>
      </c>
      <c r="C12" t="s">
        <v>1532</v>
      </c>
    </row>
    <row r="13" spans="1:4" x14ac:dyDescent="0.35">
      <c r="A13" s="35"/>
      <c r="B13" s="29" t="s">
        <v>1539</v>
      </c>
      <c r="C13" t="s">
        <v>1533</v>
      </c>
    </row>
    <row r="14" spans="1:4" x14ac:dyDescent="0.35">
      <c r="A14" s="35"/>
      <c r="B14" s="29" t="s">
        <v>1589</v>
      </c>
      <c r="C14" t="s">
        <v>1585</v>
      </c>
    </row>
    <row r="15" spans="1:4" x14ac:dyDescent="0.35">
      <c r="A15" s="35"/>
      <c r="B15" s="29" t="s">
        <v>1615</v>
      </c>
      <c r="C15" t="s">
        <v>1614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F761F-86BD-4349-A2C8-D0EEA66B1C30}">
  <sheetPr>
    <tabColor theme="7"/>
  </sheetPr>
  <dimension ref="A1:D7"/>
  <sheetViews>
    <sheetView workbookViewId="0"/>
  </sheetViews>
  <sheetFormatPr defaultColWidth="8.81640625" defaultRowHeight="14.5" x14ac:dyDescent="0.35"/>
  <cols>
    <col min="1" max="1" width="8.453125" customWidth="1"/>
    <col min="2" max="2" width="47.81640625" bestFit="1" customWidth="1"/>
    <col min="3" max="3" width="21.81640625" bestFit="1" customWidth="1"/>
  </cols>
  <sheetData>
    <row r="1" spans="1:4" x14ac:dyDescent="0.35">
      <c r="A1" s="29" t="s">
        <v>679</v>
      </c>
      <c r="B1" s="29" t="s">
        <v>1109</v>
      </c>
      <c r="C1" s="35" t="s">
        <v>1112</v>
      </c>
      <c r="D1" s="35" t="s">
        <v>121</v>
      </c>
    </row>
    <row r="2" spans="1:4" x14ac:dyDescent="0.35">
      <c r="A2" s="35"/>
      <c r="B2" s="29" t="s">
        <v>1130</v>
      </c>
      <c r="C2" t="s">
        <v>954</v>
      </c>
    </row>
    <row r="3" spans="1:4" x14ac:dyDescent="0.35">
      <c r="A3" s="35"/>
      <c r="B3" s="29" t="s">
        <v>1131</v>
      </c>
      <c r="C3" t="s">
        <v>956</v>
      </c>
    </row>
    <row r="4" spans="1:4" x14ac:dyDescent="0.35">
      <c r="A4" s="35"/>
      <c r="B4" s="29" t="s">
        <v>1132</v>
      </c>
      <c r="C4" t="s">
        <v>958</v>
      </c>
    </row>
    <row r="5" spans="1:4" x14ac:dyDescent="0.35">
      <c r="A5" s="35"/>
      <c r="B5" s="29" t="s">
        <v>1133</v>
      </c>
      <c r="C5" t="s">
        <v>960</v>
      </c>
    </row>
    <row r="6" spans="1:4" x14ac:dyDescent="0.35">
      <c r="A6" s="35"/>
      <c r="B6" s="29" t="s">
        <v>1110</v>
      </c>
      <c r="C6" t="s">
        <v>440</v>
      </c>
    </row>
    <row r="7" spans="1:4" x14ac:dyDescent="0.35">
      <c r="A7" s="35"/>
      <c r="B7" s="29" t="s">
        <v>1111</v>
      </c>
      <c r="C7" t="s">
        <v>442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B177-CE1A-4187-81A7-7343CC970DD7}">
  <sheetPr>
    <tabColor rgb="FFFFC000"/>
  </sheetPr>
  <dimension ref="A1:C2"/>
  <sheetViews>
    <sheetView workbookViewId="0"/>
  </sheetViews>
  <sheetFormatPr defaultColWidth="8.81640625" defaultRowHeight="14.5" x14ac:dyDescent="0.35"/>
  <cols>
    <col min="1" max="1" width="4.81640625" bestFit="1" customWidth="1"/>
    <col min="2" max="2" width="17.1796875" bestFit="1" customWidth="1"/>
    <col min="3" max="3" width="10.453125" customWidth="1"/>
  </cols>
  <sheetData>
    <row r="1" spans="1:3" x14ac:dyDescent="0.35">
      <c r="A1" s="194" t="s">
        <v>679</v>
      </c>
      <c r="B1" s="195" t="s">
        <v>986</v>
      </c>
      <c r="C1" s="196" t="s">
        <v>121</v>
      </c>
    </row>
    <row r="2" spans="1:3" x14ac:dyDescent="0.35">
      <c r="B2" t="s">
        <v>1002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b9c7ee-c975-4d76-854e-6975b070a895">
      <Terms xmlns="http://schemas.microsoft.com/office/infopath/2007/PartnerControls"/>
    </lcf76f155ced4ddcb4097134ff3c332f>
    <TaxCatchAll xmlns="75ef814c-8ae6-47ab-a771-8ea7e545a4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EC969FF46C08498BF46927E3D62B1F" ma:contentTypeVersion="12" ma:contentTypeDescription="Create a new document." ma:contentTypeScope="" ma:versionID="8478f2965e9d8c46cf632a13de429653">
  <xsd:schema xmlns:xsd="http://www.w3.org/2001/XMLSchema" xmlns:xs="http://www.w3.org/2001/XMLSchema" xmlns:p="http://schemas.microsoft.com/office/2006/metadata/properties" xmlns:ns2="f2b9c7ee-c975-4d76-854e-6975b070a895" xmlns:ns3="75ef814c-8ae6-47ab-a771-8ea7e545a4e8" targetNamespace="http://schemas.microsoft.com/office/2006/metadata/properties" ma:root="true" ma:fieldsID="7d0cc0672bd26698f70bbc5055569bf5" ns2:_="" ns3:_="">
    <xsd:import namespace="f2b9c7ee-c975-4d76-854e-6975b070a895"/>
    <xsd:import namespace="75ef814c-8ae6-47ab-a771-8ea7e545a4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9c7ee-c975-4d76-854e-6975b070a8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f814c-8ae6-47ab-a771-8ea7e545a4e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02acb1f-600b-48cf-9f16-6f06854cee1b}" ma:internalName="TaxCatchAll" ma:showField="CatchAllData" ma:web="75ef814c-8ae6-47ab-a771-8ea7e545a4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4C6A47-F707-49C3-98CB-D877BE4910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7F9B71-A39E-4481-A378-B5F91E0DE3E6}">
  <ds:schemaRefs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75ef814c-8ae6-47ab-a771-8ea7e545a4e8"/>
    <ds:schemaRef ds:uri="http://schemas.microsoft.com/office/2006/metadata/properties"/>
    <ds:schemaRef ds:uri="f2b9c7ee-c975-4d76-854e-6975b070a895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877EBD7-D6FC-4DA5-AFD7-97083A3189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9c7ee-c975-4d76-854e-6975b070a895"/>
    <ds:schemaRef ds:uri="75ef814c-8ae6-47ab-a771-8ea7e545a4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tables_data</vt:lpstr>
      <vt:lpstr>physical_model_map</vt:lpstr>
      <vt:lpstr>structure_sets</vt:lpstr>
      <vt:lpstr>structure_variables</vt:lpstr>
      <vt:lpstr>problem</vt:lpstr>
      <vt:lpstr>_set_SECTORS</vt:lpstr>
      <vt:lpstr>_set_TECHNOLOGIES</vt:lpstr>
      <vt:lpstr>_set_PRODUCTS</vt:lpstr>
      <vt:lpstr>_set_HOURS</vt:lpstr>
      <vt:lpstr>_set_PRODUCTS_ENV</vt:lpstr>
      <vt:lpstr>_set_YEARS</vt:lpstr>
      <vt:lpstr>_set_CAPACITIES</vt:lpstr>
      <vt:lpstr>_set_PHYSICAL_DATA</vt:lpstr>
      <vt:lpstr>_set_ECONOMIC_DATA</vt:lpstr>
      <vt:lpstr>_set_COSTS</vt:lpstr>
      <vt:lpstr>_set_CONSTRAINTS</vt:lpstr>
      <vt:lpstr>_set_TOLERANCES</vt:lpstr>
      <vt:lpstr>_set_SCENARIOS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Matteo Rocco</dc:creator>
  <cp:keywords/>
  <dc:description/>
  <cp:lastModifiedBy>Tommaso Zacconi</cp:lastModifiedBy>
  <cp:revision/>
  <dcterms:created xsi:type="dcterms:W3CDTF">2015-06-05T18:17:20Z</dcterms:created>
  <dcterms:modified xsi:type="dcterms:W3CDTF">2025-12-19T17:09:58Z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0x0101007DEC969FF46C08498BF46927E3D62B1F</vt:lpwstr>
  </property>
  <property fmtid="{D5CDD505-2E9C-101B-9397-08002B2CF9AE}" pid="3" name="MediaServiceImageTags">
    <vt:lpwstr/>
  </property>
</Properties>
</file>